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THE BOTS" sheetId="2" state="visible" r:id="rId2"/>
    <sheet xmlns:r="http://schemas.openxmlformats.org/officeDocument/2006/relationships" name="CLAUDE" sheetId="3" state="visible" r:id="rId3"/>
    <sheet xmlns:r="http://schemas.openxmlformats.org/officeDocument/2006/relationships" name="GROK" sheetId="4" state="visible" r:id="rId4"/>
    <sheet xmlns:r="http://schemas.openxmlformats.org/officeDocument/2006/relationships" name="VOICE" sheetId="5" state="visible" r:id="rId5"/>
    <sheet xmlns:r="http://schemas.openxmlformats.org/officeDocument/2006/relationships" name="CLAUDE vs GROK" sheetId="6" state="visible" r:id="rId6"/>
    <sheet xmlns:r="http://schemas.openxmlformats.org/officeDocument/2006/relationships" name="PLAY WITH IT" sheetId="7" state="visible" r:id="rId7"/>
    <sheet xmlns:r="http://schemas.openxmlformats.org/officeDocument/2006/relationships" name="PRICE + PROFIT" sheetId="8" state="visible" r:id="rId8"/>
    <sheet xmlns:r="http://schemas.openxmlformats.org/officeDocument/2006/relationships" name="COST PER PERSON" sheetId="9" state="visible" r:id="rId9"/>
    <sheet xmlns:r="http://schemas.openxmlformats.org/officeDocument/2006/relationships" name="THE PLANS" sheetId="10" state="visible" r:id="rId10"/>
    <sheet xmlns:r="http://schemas.openxmlformats.org/officeDocument/2006/relationships" name="MONTHLY BILL" sheetId="11" state="visible" r:id="rId11"/>
    <sheet xmlns:r="http://schemas.openxmlformats.org/officeDocument/2006/relationships" name="WHERE NUMBERS CAME FROM" sheetId="12" state="visible" r:id="rId12"/>
  </sheets>
  <definedNames/>
  <calcPr calcId="124519" fullCalcOnLoad="1"/>
</workbook>
</file>

<file path=xl/styles.xml><?xml version="1.0" encoding="utf-8"?>
<styleSheet xmlns="http://schemas.openxmlformats.org/spreadsheetml/2006/main">
  <numFmts count="4">
    <numFmt numFmtId="164" formatCode="&quot;$&quot;#,##0.00"/>
    <numFmt numFmtId="165" formatCode="&quot;$&quot;0.0000"/>
    <numFmt numFmtId="166" formatCode="0.###"/>
    <numFmt numFmtId="167" formatCode="0.0&quot;x&quot;"/>
  </numFmts>
  <fonts count="5">
    <font>
      <name val="Calibri"/>
      <family val="2"/>
      <color theme="1"/>
      <sz val="11"/>
      <scheme val="minor"/>
    </font>
    <font>
      <b val="1"/>
      <sz val="13"/>
    </font>
    <font>
      <b val="1"/>
      <sz val="11"/>
    </font>
    <font>
      <b val="1"/>
    </font>
    <font>
      <b val="1"/>
      <sz val="12"/>
    </font>
  </fonts>
  <fills count="7">
    <fill>
      <patternFill/>
    </fill>
    <fill>
      <patternFill patternType="gray125"/>
    </fill>
    <fill>
      <patternFill patternType="solid">
        <fgColor rgb="00DCE6F1"/>
      </patternFill>
    </fill>
    <fill>
      <patternFill patternType="solid">
        <fgColor rgb="00DFF0E0"/>
      </patternFill>
    </fill>
    <fill>
      <patternFill patternType="solid">
        <fgColor rgb="00FBEEDA"/>
      </patternFill>
    </fill>
    <fill>
      <patternFill patternType="solid">
        <fgColor rgb="00E8E0D0"/>
      </patternFill>
    </fill>
    <fill>
      <patternFill patternType="solid">
        <fgColor rgb="00FFF2CC"/>
      </patternFill>
    </fill>
  </fills>
  <borders count="1">
    <border>
      <left/>
      <right/>
      <top/>
      <bottom/>
      <diagonal/>
    </border>
  </borders>
  <cellStyleXfs count="1">
    <xf numFmtId="0" fontId="0" fillId="0" borderId="0"/>
  </cellStyleXfs>
  <cellXfs count="37">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3" fillId="2" borderId="0" applyAlignment="1" pivotButton="0" quotePrefix="0" xfId="0">
      <alignment vertical="top"/>
    </xf>
    <xf numFmtId="0" fontId="3" fillId="3" borderId="0" applyAlignment="1" pivotButton="0" quotePrefix="0" xfId="0">
      <alignment vertical="top"/>
    </xf>
    <xf numFmtId="0" fontId="3" fillId="4" borderId="0" applyAlignment="1" pivotButton="0" quotePrefix="0" xfId="0">
      <alignment vertical="top"/>
    </xf>
    <xf numFmtId="164" fontId="0" fillId="0" borderId="0" applyAlignment="1" pivotButton="0" quotePrefix="0" xfId="0">
      <alignment vertical="top"/>
    </xf>
    <xf numFmtId="0" fontId="3" fillId="5" borderId="0" applyAlignment="1" pivotButton="0" quotePrefix="0" xfId="0">
      <alignment vertical="top"/>
    </xf>
    <xf numFmtId="0" fontId="0" fillId="2"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164" fontId="0" fillId="3" borderId="0" applyAlignment="1" pivotButton="0" quotePrefix="0" xfId="0">
      <alignment vertical="top"/>
    </xf>
    <xf numFmtId="164" fontId="0" fillId="2" borderId="0" applyAlignment="1" pivotButton="0" quotePrefix="0" xfId="0">
      <alignment vertical="top"/>
    </xf>
    <xf numFmtId="0" fontId="3" fillId="0" borderId="0" applyAlignment="1" pivotButton="0" quotePrefix="0" xfId="0">
      <alignment vertical="top"/>
    </xf>
    <xf numFmtId="164" fontId="3" fillId="0" borderId="0" applyAlignment="1" pivotButton="0" quotePrefix="0" xfId="0">
      <alignment vertical="top"/>
    </xf>
    <xf numFmtId="165" fontId="0" fillId="2" borderId="0" applyAlignment="1" pivotButton="0" quotePrefix="0" xfId="0">
      <alignment vertical="top"/>
    </xf>
    <xf numFmtId="166" fontId="0" fillId="2" borderId="0" applyAlignment="1" pivotButton="0" quotePrefix="0" xfId="0">
      <alignment vertical="top"/>
    </xf>
    <xf numFmtId="165" fontId="0" fillId="3" borderId="0" applyAlignment="1" pivotButton="0" quotePrefix="0" xfId="0">
      <alignment vertical="top"/>
    </xf>
    <xf numFmtId="167" fontId="0" fillId="3" borderId="0" applyAlignment="1" pivotButton="0" quotePrefix="0" xfId="0">
      <alignment vertical="top"/>
    </xf>
    <xf numFmtId="165" fontId="0" fillId="0" borderId="0" applyAlignment="1" pivotButton="0" quotePrefix="0" xfId="0">
      <alignment vertical="top"/>
    </xf>
    <xf numFmtId="0" fontId="0" fillId="6" borderId="0" applyAlignment="1" pivotButton="0" quotePrefix="0" xfId="0">
      <alignment vertical="top"/>
    </xf>
    <xf numFmtId="165" fontId="0" fillId="6" borderId="0" applyAlignment="1" pivotButton="0" quotePrefix="0" xfId="0">
      <alignment vertical="top"/>
    </xf>
    <xf numFmtId="167" fontId="0" fillId="6" borderId="0" applyAlignment="1" pivotButton="0" quotePrefix="0" xfId="0">
      <alignment vertical="top"/>
    </xf>
    <xf numFmtId="165" fontId="0" fillId="4" borderId="0" applyAlignment="1" pivotButton="0" quotePrefix="0" xfId="0">
      <alignment vertical="top"/>
    </xf>
    <xf numFmtId="166" fontId="0" fillId="4" borderId="0" applyAlignment="1" pivotButton="0" quotePrefix="0" xfId="0">
      <alignment vertical="top"/>
    </xf>
    <xf numFmtId="164" fontId="0" fillId="4" borderId="0" applyAlignment="1" pivotButton="0" quotePrefix="0" xfId="0">
      <alignment vertical="top"/>
    </xf>
    <xf numFmtId="167" fontId="0" fillId="2" borderId="0" applyAlignment="1" pivotButton="0" quotePrefix="0" xfId="0">
      <alignment vertical="top"/>
    </xf>
    <xf numFmtId="0" fontId="3" fillId="6" borderId="0" applyAlignment="1" pivotButton="0" quotePrefix="0" xfId="0">
      <alignment vertical="top"/>
    </xf>
    <xf numFmtId="166" fontId="3" fillId="6" borderId="0" applyAlignment="1" pivotButton="0" quotePrefix="0" xfId="0">
      <alignment vertical="top"/>
    </xf>
    <xf numFmtId="164" fontId="0" fillId="6" borderId="0" applyAlignment="1" pivotButton="0" quotePrefix="0" xfId="0">
      <alignment vertical="top"/>
    </xf>
    <xf numFmtId="164" fontId="4" fillId="0" borderId="0" applyAlignment="1" pivotButton="0" quotePrefix="0" xfId="0">
      <alignment vertical="top"/>
    </xf>
    <xf numFmtId="9" fontId="0" fillId="0" borderId="0" applyAlignment="1" pivotButton="0" quotePrefix="0" xfId="0">
      <alignment vertical="top"/>
    </xf>
    <xf numFmtId="9" fontId="0" fillId="2" borderId="0" applyAlignment="1" pivotButton="0" quotePrefix="0" xfId="0">
      <alignment vertical="top"/>
    </xf>
    <xf numFmtId="9" fontId="0" fillId="6" borderId="0" applyAlignment="1" pivotButton="0" quotePrefix="0" xfId="0">
      <alignment vertical="top"/>
    </xf>
    <xf numFmtId="166" fontId="0" fillId="3" borderId="0" applyAlignment="1" pivotButton="0" quotePrefix="0" xfId="0">
      <alignment vertical="top"/>
    </xf>
    <xf numFmtId="1" fontId="0" fillId="0" borderId="0" applyAlignment="1" pivotButton="0" quotePrefix="0" xfId="0">
      <alignment vertical="top"/>
    </xf>
  </cellXfs>
  <cellStyles count="1">
    <cellStyle name="Normal" xfId="0" builtinId="0" hidden="0"/>
  </cellStyles>
  <dxfs count="2">
    <dxf>
      <font>
        <b val="1"/>
        <color rgb="001E6B34"/>
      </font>
      <fill>
        <patternFill patternType="solid">
          <fgColor rgb="00D5EFD5"/>
        </patternFill>
      </fill>
    </dxf>
    <dxf>
      <font>
        <b val="1"/>
        <color rgb="009B1C1C"/>
      </font>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Where the money went, last 30 days (coloured by who does that job today)</a:t>
            </a:r>
          </a:p>
        </rich>
      </tx>
    </title>
    <plotArea>
      <barChart>
        <barDir val="col"/>
        <grouping val="clustered"/>
        <ser>
          <idx val="0"/>
          <order val="0"/>
          <tx>
            <strRef>
              <f>'THE BOTS'!C10</f>
            </strRef>
          </tx>
          <spPr>
            <a:ln xmlns:a="http://schemas.openxmlformats.org/drawingml/2006/main">
              <a:prstDash val="solid"/>
            </a:ln>
          </spPr>
          <dPt>
            <idx val="0"/>
            <spPr>
              <a:solidFill xmlns:a="http://schemas.openxmlformats.org/drawingml/2006/main">
                <a:srgbClr val="3F7A4E"/>
              </a:solidFill>
              <a:ln xmlns:a="http://schemas.openxmlformats.org/drawingml/2006/main">
                <a:solidFill>
                  <a:srgbClr val="3F7A4E"/>
                </a:solidFill>
                <a:prstDash val="solid"/>
              </a:ln>
            </spPr>
          </dPt>
          <dPt>
            <idx val="1"/>
            <spPr>
              <a:solidFill xmlns:a="http://schemas.openxmlformats.org/drawingml/2006/main">
                <a:srgbClr val="2E5C8A"/>
              </a:solidFill>
              <a:ln xmlns:a="http://schemas.openxmlformats.org/drawingml/2006/main">
                <a:solidFill>
                  <a:srgbClr val="2E5C8A"/>
                </a:solidFill>
                <a:prstDash val="solid"/>
              </a:ln>
            </spPr>
          </dPt>
          <dPt>
            <idx val="2"/>
            <spPr>
              <a:solidFill xmlns:a="http://schemas.openxmlformats.org/drawingml/2006/main">
                <a:srgbClr val="2E5C8A"/>
              </a:solidFill>
              <a:ln xmlns:a="http://schemas.openxmlformats.org/drawingml/2006/main">
                <a:solidFill>
                  <a:srgbClr val="2E5C8A"/>
                </a:solidFill>
                <a:prstDash val="solid"/>
              </a:ln>
            </spPr>
          </dPt>
          <dPt>
            <idx val="3"/>
            <spPr>
              <a:solidFill xmlns:a="http://schemas.openxmlformats.org/drawingml/2006/main">
                <a:srgbClr val="3F7A4E"/>
              </a:solidFill>
              <a:ln xmlns:a="http://schemas.openxmlformats.org/drawingml/2006/main">
                <a:solidFill>
                  <a:srgbClr val="3F7A4E"/>
                </a:solidFill>
                <a:prstDash val="solid"/>
              </a:ln>
            </spPr>
          </dPt>
          <dPt>
            <idx val="4"/>
            <spPr>
              <a:solidFill xmlns:a="http://schemas.openxmlformats.org/drawingml/2006/main">
                <a:srgbClr val="2E5C8A"/>
              </a:solidFill>
              <a:ln xmlns:a="http://schemas.openxmlformats.org/drawingml/2006/main">
                <a:solidFill>
                  <a:srgbClr val="2E5C8A"/>
                </a:solidFill>
                <a:prstDash val="solid"/>
              </a:ln>
            </spPr>
          </dPt>
          <dPt>
            <idx val="5"/>
            <spPr>
              <a:solidFill xmlns:a="http://schemas.openxmlformats.org/drawingml/2006/main">
                <a:srgbClr val="2E5C8A"/>
              </a:solidFill>
              <a:ln xmlns:a="http://schemas.openxmlformats.org/drawingml/2006/main">
                <a:solidFill>
                  <a:srgbClr val="2E5C8A"/>
                </a:solidFill>
                <a:prstDash val="solid"/>
              </a:ln>
            </spPr>
          </dPt>
          <dPt>
            <idx val="6"/>
            <spPr>
              <a:solidFill xmlns:a="http://schemas.openxmlformats.org/drawingml/2006/main">
                <a:srgbClr val="2E5C8A"/>
              </a:solidFill>
              <a:ln xmlns:a="http://schemas.openxmlformats.org/drawingml/2006/main">
                <a:solidFill>
                  <a:srgbClr val="2E5C8A"/>
                </a:solidFill>
                <a:prstDash val="solid"/>
              </a:ln>
            </spPr>
          </dPt>
          <dPt>
            <idx val="7"/>
            <spPr>
              <a:solidFill xmlns:a="http://schemas.openxmlformats.org/drawingml/2006/main">
                <a:srgbClr val="3F7A4E"/>
              </a:solidFill>
              <a:ln xmlns:a="http://schemas.openxmlformats.org/drawingml/2006/main">
                <a:solidFill>
                  <a:srgbClr val="3F7A4E"/>
                </a:solidFill>
                <a:prstDash val="solid"/>
              </a:ln>
            </spPr>
          </dPt>
          <dPt>
            <idx val="8"/>
            <spPr>
              <a:solidFill xmlns:a="http://schemas.openxmlformats.org/drawingml/2006/main">
                <a:srgbClr val="2E5C8A"/>
              </a:solidFill>
              <a:ln xmlns:a="http://schemas.openxmlformats.org/drawingml/2006/main">
                <a:solidFill>
                  <a:srgbClr val="2E5C8A"/>
                </a:solidFill>
                <a:prstDash val="solid"/>
              </a:ln>
            </spPr>
          </dPt>
          <dPt>
            <idx val="9"/>
            <spPr>
              <a:solidFill xmlns:a="http://schemas.openxmlformats.org/drawingml/2006/main">
                <a:srgbClr val="3F7A4E"/>
              </a:solidFill>
              <a:ln xmlns:a="http://schemas.openxmlformats.org/drawingml/2006/main">
                <a:solidFill>
                  <a:srgbClr val="3F7A4E"/>
                </a:solidFill>
                <a:prstDash val="solid"/>
              </a:ln>
            </spPr>
          </dPt>
          <cat>
            <numRef>
              <f>'THE BOTS'!$A$11:$A$20</f>
            </numRef>
          </cat>
          <val>
            <numRef>
              <f>'THE BOTS'!$C$11:$C$20</f>
            </numRef>
          </val>
        </ser>
        <gapWidth val="6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Dollars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Claude: what one piece of writing costs</a:t>
            </a:r>
          </a:p>
        </rich>
      </tx>
    </title>
    <plotArea>
      <barChart>
        <barDir val="col"/>
        <grouping val="clustered"/>
        <ser>
          <idx val="0"/>
          <order val="0"/>
          <tx>
            <strRef>
              <f>'CLAUDE'!B5</f>
            </strRef>
          </tx>
          <spPr>
            <a:solidFill xmlns:a="http://schemas.openxmlformats.org/drawingml/2006/main">
              <a:srgbClr val="2E5C8A"/>
            </a:solidFill>
            <a:ln xmlns:a="http://schemas.openxmlformats.org/drawingml/2006/main">
              <a:solidFill>
                <a:srgbClr val="2E5C8A"/>
              </a:solidFill>
              <a:prstDash val="solid"/>
            </a:ln>
          </spPr>
          <cat>
            <numRef>
              <f>'CLAUDE'!$A$6:$A$16</f>
            </numRef>
          </cat>
          <val>
            <numRef>
              <f>'CLAUDE'!$B$6:$B$16</f>
            </numRef>
          </val>
        </ser>
        <gapWidth val="6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Dollars per writing</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Horoscopes: Grok now vs Claude before</a:t>
            </a:r>
          </a:p>
        </rich>
      </tx>
    </title>
    <plotArea>
      <barChart>
        <barDir val="col"/>
        <grouping val="clustered"/>
        <ser>
          <idx val="0"/>
          <order val="0"/>
          <tx>
            <strRef>
              <f>'GROK'!B5</f>
            </strRef>
          </tx>
          <spPr>
            <a:solidFill xmlns:a="http://schemas.openxmlformats.org/drawingml/2006/main">
              <a:srgbClr val="3F7A4E"/>
            </a:solidFill>
            <a:ln xmlns:a="http://schemas.openxmlformats.org/drawingml/2006/main">
              <a:solidFill>
                <a:srgbClr val="3F7A4E"/>
              </a:solidFill>
              <a:prstDash val="solid"/>
            </a:ln>
          </spPr>
          <cat>
            <numRef>
              <f>'GROK'!$A$6:$A$9</f>
            </numRef>
          </cat>
          <val>
            <numRef>
              <f>'GROK'!$B$6:$B$9</f>
            </numRef>
          </val>
        </ser>
        <ser>
          <idx val="1"/>
          <order val="1"/>
          <tx>
            <strRef>
              <f>'GROK'!C5</f>
            </strRef>
          </tx>
          <spPr>
            <a:solidFill xmlns:a="http://schemas.openxmlformats.org/drawingml/2006/main">
              <a:srgbClr val="2E5C8A"/>
            </a:solidFill>
            <a:ln xmlns:a="http://schemas.openxmlformats.org/drawingml/2006/main">
              <a:solidFill>
                <a:srgbClr val="2E5C8A"/>
              </a:solidFill>
              <a:prstDash val="solid"/>
            </a:ln>
          </spPr>
          <cat>
            <numRef>
              <f>'GROK'!$A$6:$A$9</f>
            </numRef>
          </cat>
          <val>
            <numRef>
              <f>'GROK'!$C$6:$C$9</f>
            </numRef>
          </val>
        </ser>
        <gapWidth val="6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Dollars per writing</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Voice: cost of the first play</a:t>
            </a:r>
          </a:p>
        </rich>
      </tx>
    </title>
    <plotArea>
      <barChart>
        <barDir val="col"/>
        <grouping val="clustered"/>
        <ser>
          <idx val="0"/>
          <order val="0"/>
          <tx>
            <strRef>
              <f>'VOICE'!B5</f>
            </strRef>
          </tx>
          <spPr>
            <a:solidFill xmlns:a="http://schemas.openxmlformats.org/drawingml/2006/main">
              <a:srgbClr val="B5822E"/>
            </a:solidFill>
            <a:ln xmlns:a="http://schemas.openxmlformats.org/drawingml/2006/main">
              <a:solidFill>
                <a:srgbClr val="B5822E"/>
              </a:solidFill>
              <a:prstDash val="solid"/>
            </a:ln>
          </spPr>
          <cat>
            <numRef>
              <f>'VOICE'!$A$6:$A$7</f>
            </numRef>
          </cat>
          <val>
            <numRef>
              <f>'VOICE'!$B$6:$B$7</f>
            </numRef>
          </val>
        </ser>
        <gapWidth val="6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Dollars</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Same job, both bots</a:t>
            </a:r>
          </a:p>
        </rich>
      </tx>
    </title>
    <plotArea>
      <barChart>
        <barDir val="col"/>
        <grouping val="clustered"/>
        <ser>
          <idx val="0"/>
          <order val="0"/>
          <tx>
            <strRef>
              <f>'CLAUDE vs GROK'!B4</f>
            </strRef>
          </tx>
          <spPr>
            <a:solidFill xmlns:a="http://schemas.openxmlformats.org/drawingml/2006/main">
              <a:srgbClr val="2E5C8A"/>
            </a:solidFill>
            <a:ln xmlns:a="http://schemas.openxmlformats.org/drawingml/2006/main">
              <a:solidFill>
                <a:srgbClr val="2E5C8A"/>
              </a:solidFill>
              <a:prstDash val="solid"/>
            </a:ln>
          </spPr>
          <cat>
            <numRef>
              <f>'CLAUDE vs GROK'!$A$5:$A$10</f>
            </numRef>
          </cat>
          <val>
            <numRef>
              <f>'CLAUDE vs GROK'!$B$5:$B$10</f>
            </numRef>
          </val>
        </ser>
        <ser>
          <idx val="1"/>
          <order val="1"/>
          <tx>
            <strRef>
              <f>'CLAUDE vs GROK'!C4</f>
            </strRef>
          </tx>
          <spPr>
            <a:solidFill xmlns:a="http://schemas.openxmlformats.org/drawingml/2006/main">
              <a:srgbClr val="3F7A4E"/>
            </a:solidFill>
            <a:ln xmlns:a="http://schemas.openxmlformats.org/drawingml/2006/main">
              <a:solidFill>
                <a:srgbClr val="3F7A4E"/>
              </a:solidFill>
              <a:prstDash val="solid"/>
            </a:ln>
          </spPr>
          <cat>
            <numRef>
              <f>'CLAUDE vs GROK'!$A$5:$A$10</f>
            </numRef>
          </cat>
          <val>
            <numRef>
              <f>'CLAUDE vs GROK'!$C$5:$C$10</f>
            </numRef>
          </val>
        </ser>
        <gapWidth val="6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Dollars per writing</a:t>
                </a:r>
              </a:p>
            </rich>
          </tx>
        </title>
        <majorTickMark val="none"/>
        <minorTickMark val="none"/>
        <crossAx val="10"/>
      </valAx>
    </plotArea>
    <legend>
      <legendPos val="r"/>
    </legend>
    <plotVisOnly val="1"/>
    <dispBlanksAs val="gap"/>
  </chart>
</chartSpace>
</file>

<file path=xl/charts/chart6.xml><?xml version="1.0" encoding="utf-8"?>
<chartSpace xmlns="http://schemas.openxmlformats.org/drawingml/2006/chart">
  <style val="2"/>
  <chart>
    <title>
      <tx>
        <rich>
          <a:bodyPr xmlns:a="http://schemas.openxmlformats.org/drawingml/2006/main"/>
          <a:p xmlns:a="http://schemas.openxmlformats.org/drawingml/2006/main">
            <a:pPr>
              <a:defRPr/>
            </a:pPr>
            <a:r>
              <a:t>One-off buys: what we keep, against what the bot cost us</a:t>
            </a:r>
          </a:p>
        </rich>
      </tx>
    </title>
    <plotArea>
      <barChart>
        <barDir val="col"/>
        <grouping val="clustered"/>
        <ser>
          <idx val="0"/>
          <order val="0"/>
          <tx>
            <strRef>
              <f>'PRICE + PROFIT'!D11</f>
            </strRef>
          </tx>
          <spPr>
            <a:solidFill xmlns:a="http://schemas.openxmlformats.org/drawingml/2006/main">
              <a:srgbClr val="9C8B6B"/>
            </a:solidFill>
            <a:ln xmlns:a="http://schemas.openxmlformats.org/drawingml/2006/main">
              <a:solidFill>
                <a:srgbClr val="9C8B6B"/>
              </a:solidFill>
              <a:prstDash val="solid"/>
            </a:ln>
          </spPr>
          <cat>
            <numRef>
              <f>'PRICE + PROFIT'!$A$12:$A$18</f>
            </numRef>
          </cat>
          <val>
            <numRef>
              <f>'PRICE + PROFIT'!$D$12:$D$18</f>
            </numRef>
          </val>
        </ser>
        <ser>
          <idx val="1"/>
          <order val="1"/>
          <tx>
            <strRef>
              <f>'PRICE + PROFIT'!F11</f>
            </strRef>
          </tx>
          <spPr>
            <a:solidFill xmlns:a="http://schemas.openxmlformats.org/drawingml/2006/main">
              <a:srgbClr val="2E5C8A"/>
            </a:solidFill>
            <a:ln xmlns:a="http://schemas.openxmlformats.org/drawingml/2006/main">
              <a:solidFill>
                <a:srgbClr val="2E5C8A"/>
              </a:solidFill>
              <a:prstDash val="solid"/>
            </a:ln>
          </spPr>
          <cat>
            <numRef>
              <f>'PRICE + PROFIT'!$A$12:$A$18</f>
            </numRef>
          </cat>
          <val>
            <numRef>
              <f>'PRICE + PROFIT'!$F$12:$F$18</f>
            </numRef>
          </val>
        </ser>
        <gapWidth val="6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Dollars</a:t>
                </a:r>
              </a:p>
            </rich>
          </tx>
        </title>
        <majorTickMark val="none"/>
        <minorTickMark val="none"/>
        <crossAx val="10"/>
      </valAx>
    </plotArea>
    <legend>
      <legendPos val="r"/>
    </legend>
    <plotVisOnly val="1"/>
    <dispBlanksAs val="gap"/>
  </chart>
</chartSpace>
</file>

<file path=xl/charts/chart7.xml><?xml version="1.0" encoding="utf-8"?>
<chartSpace xmlns="http://schemas.openxmlformats.org/drawingml/2006/chart">
  <style val="2"/>
  <chart>
    <title>
      <tx>
        <rich>
          <a:bodyPr xmlns:a="http://schemas.openxmlformats.org/drawingml/2006/main"/>
          <a:p xmlns:a="http://schemas.openxmlformats.org/drawingml/2006/main">
            <a:pPr>
              <a:defRPr/>
            </a:pPr>
            <a:r>
              <a:t>One subscriber, one month, three kinds of user</a:t>
            </a:r>
          </a:p>
        </rich>
      </tx>
    </title>
    <plotArea>
      <barChart>
        <barDir val="col"/>
        <grouping val="clustered"/>
        <ser>
          <idx val="0"/>
          <order val="0"/>
          <spPr>
            <a:solidFill xmlns:a="http://schemas.openxmlformats.org/drawingml/2006/main">
              <a:srgbClr val="9C8B6B"/>
            </a:solidFill>
            <a:ln xmlns:a="http://schemas.openxmlformats.org/drawingml/2006/main">
              <a:solidFill>
                <a:srgbClr val="9C8B6B"/>
              </a:solidFill>
              <a:prstDash val="solid"/>
            </a:ln>
          </spPr>
          <cat>
            <numRef>
              <f>'COST PER PERSON'!$F$4:$J$4</f>
            </numRef>
          </cat>
          <val>
            <numRef>
              <f>'COST PER PERSON'!$F$20</f>
            </numRef>
          </val>
        </ser>
        <ser>
          <idx val="1"/>
          <order val="1"/>
          <spPr>
            <a:ln xmlns:a="http://schemas.openxmlformats.org/drawingml/2006/main">
              <a:prstDash val="solid"/>
            </a:ln>
          </spPr>
          <cat>
            <numRef>
              <f>'COST PER PERSON'!$F$4:$J$4</f>
            </numRef>
          </cat>
          <val>
            <numRef>
              <f>'COST PER PERSON'!$G$20</f>
            </numRef>
          </val>
        </ser>
        <ser>
          <idx val="2"/>
          <order val="2"/>
          <spPr>
            <a:ln xmlns:a="http://schemas.openxmlformats.org/drawingml/2006/main">
              <a:prstDash val="solid"/>
            </a:ln>
          </spPr>
          <cat>
            <numRef>
              <f>'COST PER PERSON'!$F$4:$J$4</f>
            </numRef>
          </cat>
          <val>
            <numRef>
              <f>'COST PER PERSON'!$H$20</f>
            </numRef>
          </val>
        </ser>
        <ser>
          <idx val="3"/>
          <order val="3"/>
          <spPr>
            <a:ln xmlns:a="http://schemas.openxmlformats.org/drawingml/2006/main">
              <a:prstDash val="solid"/>
            </a:ln>
          </spPr>
          <cat>
            <numRef>
              <f>'COST PER PERSON'!$F$4:$J$4</f>
            </numRef>
          </cat>
          <val>
            <numRef>
              <f>'COST PER PERSON'!$I$20</f>
            </numRef>
          </val>
        </ser>
        <ser>
          <idx val="4"/>
          <order val="4"/>
          <spPr>
            <a:ln xmlns:a="http://schemas.openxmlformats.org/drawingml/2006/main">
              <a:prstDash val="solid"/>
            </a:ln>
          </spPr>
          <cat>
            <numRef>
              <f>'COST PER PERSON'!$F$4:$J$4</f>
            </numRef>
          </cat>
          <val>
            <numRef>
              <f>'COST PER PERSON'!$J$20</f>
            </numRef>
          </val>
        </ser>
        <gapWidth val="6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Dollars</a:t>
                </a:r>
              </a:p>
            </rich>
          </tx>
        </title>
        <majorTickMark val="none"/>
        <minorTickMark val="none"/>
        <crossAx val="10"/>
      </valAx>
    </plotArea>
    <legend>
      <legendPos val="r"/>
    </legend>
    <plotVisOnly val="1"/>
    <dispBlanksAs val="gap"/>
  </chart>
</chartSpace>
</file>

<file path=xl/charts/chart8.xml><?xml version="1.0" encoding="utf-8"?>
<chartSpace xmlns="http://schemas.openxmlformats.org/drawingml/2006/chart">
  <style val="2"/>
  <chart>
    <title>
      <tx>
        <rich>
          <a:bodyPr xmlns:a="http://schemas.openxmlformats.org/drawingml/2006/main"/>
          <a:p xmlns:a="http://schemas.openxmlformats.org/drawingml/2006/main">
            <a:pPr>
              <a:defRPr/>
            </a:pPr>
            <a:r>
              <a:t>Each plan: what we keep, against the worst the bots could cost</a:t>
            </a:r>
          </a:p>
        </rich>
      </tx>
    </title>
    <plotArea>
      <barChart>
        <barDir val="col"/>
        <grouping val="clustered"/>
        <ser>
          <idx val="0"/>
          <order val="0"/>
          <tx>
            <strRef>
              <f>'THE PLANS'!C5</f>
            </strRef>
          </tx>
          <spPr>
            <a:solidFill xmlns:a="http://schemas.openxmlformats.org/drawingml/2006/main">
              <a:srgbClr val="9C8B6B"/>
            </a:solidFill>
            <a:ln xmlns:a="http://schemas.openxmlformats.org/drawingml/2006/main">
              <a:solidFill>
                <a:srgbClr val="9C8B6B"/>
              </a:solidFill>
              <a:prstDash val="solid"/>
            </a:ln>
          </spPr>
          <cat>
            <numRef>
              <f>'THE PLANS'!$A$6:$A$9</f>
            </numRef>
          </cat>
          <val>
            <numRef>
              <f>'THE PLANS'!$C$6:$C$9</f>
            </numRef>
          </val>
        </ser>
        <ser>
          <idx val="1"/>
          <order val="1"/>
          <tx>
            <strRef>
              <f>'THE PLANS'!E5</f>
            </strRef>
          </tx>
          <spPr>
            <a:solidFill xmlns:a="http://schemas.openxmlformats.org/drawingml/2006/main">
              <a:srgbClr val="2E5C8A"/>
            </a:solidFill>
            <a:ln xmlns:a="http://schemas.openxmlformats.org/drawingml/2006/main">
              <a:solidFill>
                <a:srgbClr val="2E5C8A"/>
              </a:solidFill>
              <a:prstDash val="solid"/>
            </a:ln>
          </spPr>
          <cat>
            <numRef>
              <f>'THE PLANS'!$A$6:$A$9</f>
            </numRef>
          </cat>
          <val>
            <numRef>
              <f>'THE PLANS'!$E$6:$E$9</f>
            </numRef>
          </val>
        </ser>
        <gapWidth val="6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Dollars a month</a:t>
                </a:r>
              </a:p>
            </rich>
          </tx>
        </title>
        <majorTickMark val="none"/>
        <minorTickMark val="none"/>
        <crossAx val="10"/>
      </valAx>
    </plotArea>
    <legend>
      <legendPos val="r"/>
    </legend>
    <plotVisOnly val="1"/>
    <dispBlanksAs val="gap"/>
  </chart>
</chartSpace>
</file>

<file path=xl/charts/chart9.xml><?xml version="1.0" encoding="utf-8"?>
<chartSpace xmlns="http://schemas.openxmlformats.org/drawingml/2006/chart">
  <style val="2"/>
  <chart>
    <title>
      <tx>
        <rich>
          <a:bodyPr xmlns:a="http://schemas.openxmlformats.org/drawingml/2006/main"/>
          <a:p xmlns:a="http://schemas.openxmlformats.org/drawingml/2006/main">
            <a:pPr>
              <a:defRPr/>
            </a:pPr>
            <a:r>
              <a:t>The monthly bill, line by line</a:t>
            </a:r>
          </a:p>
        </rich>
      </tx>
    </title>
    <plotArea>
      <barChart>
        <barDir val="col"/>
        <grouping val="clustered"/>
        <ser>
          <idx val="0"/>
          <order val="0"/>
          <tx>
            <strRef>
              <f>'MONTHLY BILL'!B4</f>
            </strRef>
          </tx>
          <spPr>
            <a:ln xmlns:a="http://schemas.openxmlformats.org/drawingml/2006/main">
              <a:prstDash val="solid"/>
            </a:ln>
          </spPr>
          <dPt>
            <idx val="0"/>
            <spPr>
              <a:solidFill xmlns:a="http://schemas.openxmlformats.org/drawingml/2006/main">
                <a:srgbClr val="3F7A4E"/>
              </a:solidFill>
              <a:ln xmlns:a="http://schemas.openxmlformats.org/drawingml/2006/main">
                <a:solidFill>
                  <a:srgbClr val="3F7A4E"/>
                </a:solidFill>
                <a:prstDash val="solid"/>
              </a:ln>
            </spPr>
          </dPt>
          <dPt>
            <idx val="1"/>
            <spPr>
              <a:solidFill xmlns:a="http://schemas.openxmlformats.org/drawingml/2006/main">
                <a:srgbClr val="2E5C8A"/>
              </a:solidFill>
              <a:ln xmlns:a="http://schemas.openxmlformats.org/drawingml/2006/main">
                <a:solidFill>
                  <a:srgbClr val="2E5C8A"/>
                </a:solidFill>
                <a:prstDash val="solid"/>
              </a:ln>
            </spPr>
          </dPt>
          <dPt>
            <idx val="2"/>
            <spPr>
              <a:solidFill xmlns:a="http://schemas.openxmlformats.org/drawingml/2006/main">
                <a:srgbClr val="3F7A4E"/>
              </a:solidFill>
              <a:ln xmlns:a="http://schemas.openxmlformats.org/drawingml/2006/main">
                <a:solidFill>
                  <a:srgbClr val="3F7A4E"/>
                </a:solidFill>
                <a:prstDash val="solid"/>
              </a:ln>
            </spPr>
          </dPt>
          <dPt>
            <idx val="3"/>
            <spPr>
              <a:solidFill xmlns:a="http://schemas.openxmlformats.org/drawingml/2006/main">
                <a:srgbClr val="3F7A4E"/>
              </a:solidFill>
              <a:ln xmlns:a="http://schemas.openxmlformats.org/drawingml/2006/main">
                <a:solidFill>
                  <a:srgbClr val="3F7A4E"/>
                </a:solidFill>
                <a:prstDash val="solid"/>
              </a:ln>
            </spPr>
          </dPt>
          <dPt>
            <idx val="4"/>
            <spPr>
              <a:solidFill xmlns:a="http://schemas.openxmlformats.org/drawingml/2006/main">
                <a:srgbClr val="2E5C8A"/>
              </a:solidFill>
              <a:ln xmlns:a="http://schemas.openxmlformats.org/drawingml/2006/main">
                <a:solidFill>
                  <a:srgbClr val="2E5C8A"/>
                </a:solidFill>
                <a:prstDash val="solid"/>
              </a:ln>
            </spPr>
          </dPt>
          <dPt>
            <idx val="5"/>
            <spPr>
              <a:solidFill xmlns:a="http://schemas.openxmlformats.org/drawingml/2006/main">
                <a:srgbClr val="9C8B6B"/>
              </a:solidFill>
              <a:ln xmlns:a="http://schemas.openxmlformats.org/drawingml/2006/main">
                <a:solidFill>
                  <a:srgbClr val="9C8B6B"/>
                </a:solidFill>
                <a:prstDash val="solid"/>
              </a:ln>
            </spPr>
          </dPt>
          <dPt>
            <idx val="6"/>
            <spPr>
              <a:solidFill xmlns:a="http://schemas.openxmlformats.org/drawingml/2006/main">
                <a:srgbClr val="9C8B6B"/>
              </a:solidFill>
              <a:ln xmlns:a="http://schemas.openxmlformats.org/drawingml/2006/main">
                <a:solidFill>
                  <a:srgbClr val="9C8B6B"/>
                </a:solidFill>
                <a:prstDash val="solid"/>
              </a:ln>
            </spPr>
          </dPt>
          <dPt>
            <idx val="7"/>
            <spPr>
              <a:solidFill xmlns:a="http://schemas.openxmlformats.org/drawingml/2006/main">
                <a:srgbClr val="9C8B6B"/>
              </a:solidFill>
              <a:ln xmlns:a="http://schemas.openxmlformats.org/drawingml/2006/main">
                <a:solidFill>
                  <a:srgbClr val="9C8B6B"/>
                </a:solidFill>
                <a:prstDash val="solid"/>
              </a:ln>
            </spPr>
          </dPt>
          <cat>
            <numRef>
              <f>'MONTHLY BILL'!$A$5:$A$12</f>
            </numRef>
          </cat>
          <val>
            <numRef>
              <f>'MONTHLY BILL'!$B$5:$B$12</f>
            </numRef>
          </val>
        </ser>
        <gapWidth val="6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Dollars a month</a:t>
                </a:r>
              </a:p>
            </rich>
          </tx>
        </title>
        <majorTickMark val="none"/>
        <minorTickMark val="none"/>
        <crossAx val="10"/>
      </valAx>
    </plotArea>
    <legend>
      <legendPos val="r"/>
    </legend>
    <plotVisOnly val="1"/>
    <dispBlanksAs val="gap"/>
  </chart>
</chartSpace>
</file>

<file path=xl/charts/chart10.xml><?xml version="1.0" encoding="utf-8"?>
<chartSpace xmlns="http://schemas.openxmlformats.org/drawingml/2006/chart">
  <style val="2"/>
  <chart>
    <title>
      <tx>
        <rich>
          <a:bodyPr xmlns:a="http://schemas.openxmlformats.org/drawingml/2006/main"/>
          <a:p xmlns:a="http://schemas.openxmlformats.org/drawingml/2006/main">
            <a:pPr>
              <a:defRPr/>
            </a:pPr>
            <a:r>
              <a:t>Subscribers needed to cover the bill</a:t>
            </a:r>
          </a:p>
        </rich>
      </tx>
    </title>
    <plotArea>
      <barChart>
        <barDir val="col"/>
        <grouping val="clustered"/>
        <ser>
          <idx val="0"/>
          <order val="0"/>
          <tx>
            <strRef>
              <f>'MONTHLY BILL'!D17</f>
            </strRef>
          </tx>
          <spPr>
            <a:solidFill xmlns:a="http://schemas.openxmlformats.org/drawingml/2006/main">
              <a:srgbClr val="9C8B6B"/>
            </a:solidFill>
            <a:ln xmlns:a="http://schemas.openxmlformats.org/drawingml/2006/main">
              <a:solidFill>
                <a:srgbClr val="9C8B6B"/>
              </a:solidFill>
              <a:prstDash val="solid"/>
            </a:ln>
          </spPr>
          <cat>
            <numRef>
              <f>'MONTHLY BILL'!$A$18:$A$21</f>
            </numRef>
          </cat>
          <val>
            <numRef>
              <f>'MONTHLY BILL'!$D$18:$D$21</f>
            </numRef>
          </val>
        </ser>
        <gapWidth val="6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People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_rels/drawing7.xml.rels><Relationships xmlns="http://schemas.openxmlformats.org/package/2006/relationships"><Relationship Type="http://schemas.openxmlformats.org/officeDocument/2006/relationships/chart" Target="/xl/charts/chart7.xml" Id="rId1"/></Relationships>
</file>

<file path=xl/drawings/_rels/drawing8.xml.rels><Relationships xmlns="http://schemas.openxmlformats.org/package/2006/relationships"><Relationship Type="http://schemas.openxmlformats.org/officeDocument/2006/relationships/chart" Target="/xl/charts/chart8.xml" Id="rId1"/></Relationships>
</file>

<file path=xl/drawings/_rels/drawing9.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s>
</file>

<file path=xl/drawings/drawing1.xml><?xml version="1.0" encoding="utf-8"?>
<wsDr xmlns="http://schemas.openxmlformats.org/drawingml/2006/spreadsheetDrawing">
  <oneCellAnchor>
    <from>
      <col>0</col>
      <colOff>0</colOff>
      <row>24</row>
      <rowOff>0</rowOff>
    </from>
    <ext cx="72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21</row>
      <rowOff>0</rowOff>
    </from>
    <ext cx="72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23</row>
      <rowOff>0</rowOff>
    </from>
    <ext cx="72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12</row>
      <rowOff>0</rowOff>
    </from>
    <ext cx="72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29</row>
      <rowOff>0</rowOff>
    </from>
    <ext cx="72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0</col>
      <colOff>0</colOff>
      <row>39</row>
      <rowOff>0</rowOff>
    </from>
    <ext cx="792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xml><?xml version="1.0" encoding="utf-8"?>
<wsDr xmlns="http://schemas.openxmlformats.org/drawingml/2006/spreadsheetDrawing">
  <oneCellAnchor>
    <from>
      <col>0</col>
      <colOff>0</colOff>
      <row>26</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xml><?xml version="1.0" encoding="utf-8"?>
<wsDr xmlns="http://schemas.openxmlformats.org/drawingml/2006/spreadsheetDrawing">
  <oneCellAnchor>
    <from>
      <col>0</col>
      <colOff>0</colOff>
      <row>41</row>
      <rowOff>0</rowOff>
    </from>
    <ext cx="792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xml><?xml version="1.0" encoding="utf-8"?>
<wsDr xmlns="http://schemas.openxmlformats.org/drawingml/2006/spreadsheetDrawing">
  <oneCellAnchor>
    <from>
      <col>0</col>
      <colOff>0</colOff>
      <row>25</row>
      <rowOff>0</rowOff>
    </from>
    <ext cx="72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25</row>
      <rowOff>0</rowOff>
    </from>
    <ext cx="468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8.xml.rels><Relationships xmlns="http://schemas.openxmlformats.org/package/2006/relationships"><Relationship Type="http://schemas.openxmlformats.org/officeDocument/2006/relationships/drawing" Target="/xl/drawings/drawing6.xml" Id="rId1"/></Relationships>
</file>

<file path=xl/worksheets/_rels/sheet9.xml.rels><Relationships xmlns="http://schemas.openxmlformats.org/package/2006/relationships"><Relationship Type="http://schemas.openxmlformats.org/officeDocument/2006/relationships/drawing" Target="/xl/drawings/drawing7.xml" Id="rId1"/></Relationships>
</file>

<file path=xl/worksheets/_rels/sheet10.xml.rels><Relationships xmlns="http://schemas.openxmlformats.org/package/2006/relationships"><Relationship Type="http://schemas.openxmlformats.org/officeDocument/2006/relationships/drawing" Target="/xl/drawings/drawing8.xml" Id="rId1"/></Relationships>
</file>

<file path=xl/worksheets/_rels/sheet11.xml.rels><Relationships xmlns="http://schemas.openxmlformats.org/package/2006/relationships"><Relationship Type="http://schemas.openxmlformats.org/officeDocument/2006/relationships/drawing" Target="/xl/drawings/drawing9.xml" Id="rId1"/></Relationships>
</file>

<file path=xl/worksheets/sheet1.xml><?xml version="1.0" encoding="utf-8"?>
<worksheet xmlns="http://schemas.openxmlformats.org/spreadsheetml/2006/main">
  <sheetPr>
    <tabColor rgb="FFB9A67A"/>
    <outlinePr summaryBelow="1" summaryRight="1"/>
    <pageSetUpPr/>
  </sheetPr>
  <dimension ref="A1:D43"/>
  <sheetViews>
    <sheetView workbookViewId="0">
      <selection activeCell="A1" sqref="A1"/>
    </sheetView>
  </sheetViews>
  <sheetFormatPr baseColWidth="8" defaultRowHeight="15"/>
  <cols>
    <col width="9" customWidth="1" min="1" max="1"/>
    <col width="24.6" customWidth="1" min="2" max="2"/>
    <col width="12" customWidth="1" min="3" max="3"/>
    <col width="9" customWidth="1" min="4" max="4"/>
  </cols>
  <sheetData>
    <row r="1" ht="17" customHeight="1">
      <c r="A1" s="1" t="inlineStr">
        <is>
          <t>TAROTDOXA - WHAT IT COSTS AND WHAT IT MAKES (built 2026-08-29)</t>
        </is>
      </c>
    </row>
    <row r="2" ht="16" customHeight="1">
      <c r="A2" s="2" t="inlineStr">
        <is>
          <t>Plain version: we pay AI bots a few cents to write each reading. People pay us dollars. This book shows both sides.</t>
        </is>
      </c>
    </row>
    <row r="3" ht="16" customHeight="1"/>
    <row r="4" ht="17" customHeight="1">
      <c r="A4" s="3" t="inlineStr"/>
      <c r="B4" s="3" t="inlineStr">
        <is>
          <t>MEET THE BOTS</t>
        </is>
      </c>
    </row>
    <row r="5" ht="16" customHeight="1">
      <c r="A5" s="2" t="inlineStr"/>
      <c r="B5" s="4" t="inlineStr">
        <is>
          <t>Claude</t>
        </is>
      </c>
      <c r="C5" s="2" t="inlineStr">
        <is>
          <t>The careful one. Writes every tarot reading, the star charts, and the push line. Costs the most.</t>
        </is>
      </c>
    </row>
    <row r="6" ht="16" customHeight="1">
      <c r="A6" s="2" t="inlineStr"/>
      <c r="B6" s="5" t="inlineStr">
        <is>
          <t>Grok</t>
        </is>
      </c>
      <c r="C6" s="2" t="inlineStr">
        <is>
          <t>The fast one. Writes the daily and weekly horoscopes. About 4 times cheaper than Claude.</t>
        </is>
      </c>
    </row>
    <row r="7" ht="16" customHeight="1">
      <c r="A7" s="2" t="inlineStr"/>
      <c r="B7" s="6" t="inlineStr">
        <is>
          <t>Voice</t>
        </is>
      </c>
      <c r="C7" s="2" t="inlineStr">
        <is>
          <t>Not a writer. It reads a finished reading out loud. Saved after the first play, so replays are free.</t>
        </is>
      </c>
    </row>
    <row r="8" ht="16" customHeight="1">
      <c r="A8" s="2" t="inlineStr"/>
      <c r="B8" s="2" t="inlineStr">
        <is>
          <t>One name each</t>
        </is>
      </c>
      <c r="C8" s="2" t="inlineStr">
        <is>
          <t>Older sheets called Claude 'Opus'. Same bot, two names. From now on it is only ever called Claude.</t>
        </is>
      </c>
    </row>
    <row r="9" ht="16" customHeight="1"/>
    <row r="10" ht="17" customHeight="1">
      <c r="A10" s="3" t="inlineStr"/>
      <c r="B10" s="3" t="inlineStr">
        <is>
          <t>THE THREE NUMBERS THAT MATTER</t>
        </is>
      </c>
    </row>
    <row r="11" ht="16" customHeight="1">
      <c r="A11" s="2" t="inlineStr"/>
      <c r="B11" s="2" t="inlineStr">
        <is>
          <t>Bot bill, last 30 days</t>
        </is>
      </c>
      <c r="C11" s="7" t="n">
        <v>46.22</v>
      </c>
      <c r="D11" s="2" t="inlineStr">
        <is>
          <t>Measured. Since the 8/28 switch the same amount of use should cost about $25 to $26.</t>
        </is>
      </c>
    </row>
    <row r="12" ht="16" customHeight="1">
      <c r="A12" s="2" t="inlineStr"/>
      <c r="B12" s="2" t="inlineStr">
        <is>
          <t>People actually paying</t>
        </is>
      </c>
      <c r="C12" s="2" t="inlineStr">
        <is>
          <t>0 to 1</t>
        </is>
      </c>
      <c r="D12" s="2" t="inlineStr">
        <is>
          <t>Three Harvest accounts are free grants. At most one real card has been charged. This is problem number one.</t>
        </is>
      </c>
    </row>
    <row r="13" ht="16" customHeight="1">
      <c r="A13" s="2" t="inlineStr"/>
      <c r="B13" s="2" t="inlineStr">
        <is>
          <t>Money on account for bots</t>
        </is>
      </c>
      <c r="C13" s="7" t="n">
        <v>26.37</v>
      </c>
      <c r="D13" s="2" t="inlineStr">
        <is>
          <t>Checked live 8/28. It tops itself up automatically, so this is a health check, not an alarm.</t>
        </is>
      </c>
    </row>
    <row r="14" ht="16" customHeight="1"/>
    <row r="15" ht="17" customHeight="1">
      <c r="A15" s="3" t="inlineStr"/>
      <c r="B15" s="3" t="inlineStr">
        <is>
          <t>THE HONEST HEADLINE</t>
        </is>
      </c>
    </row>
    <row r="16" ht="16" customHeight="1">
      <c r="A16" s="2" t="inlineStr"/>
      <c r="B16" s="2" t="inlineStr">
        <is>
          <t>Every bot cost added together is smaller than one Bloom subscriber. Cutting bot costs is nice. Getting subscribers is the whole game.</t>
        </is>
      </c>
    </row>
    <row r="17" ht="16" customHeight="1"/>
    <row r="18" ht="17" customHeight="1">
      <c r="A18" s="3" t="inlineStr"/>
      <c r="B18" s="3" t="inlineStr">
        <is>
          <t>WHAT CHANGED ON 8/28 (all live, all checked)</t>
        </is>
      </c>
    </row>
    <row r="19" ht="16" customHeight="1">
      <c r="A19" s="2" t="inlineStr"/>
      <c r="B19" s="2" t="inlineStr">
        <is>
          <t>1. Grok took over the daily and weekly horoscopes. Same quality in 10 side-by-side tests. About 4 times cheaper.</t>
        </is>
      </c>
    </row>
    <row r="20" ht="16" customHeight="1">
      <c r="A20" s="2" t="inlineStr"/>
      <c r="B20" s="2" t="inlineStr">
        <is>
          <t>2. The push notification line stayed on Claude on purpose. Grok cost MORE for that one, not less.</t>
        </is>
      </c>
    </row>
    <row r="21" ht="16" customHeight="1">
      <c r="A21" s="2" t="inlineStr"/>
      <c r="B21" s="2" t="inlineStr">
        <is>
          <t>3. One-off prices changed and are live everywhere: 7-card $25 to $20, 10-card $40 to $25, Couples Star Chart $40 to $44.</t>
        </is>
      </c>
    </row>
    <row r="22" ht="16" customHeight="1">
      <c r="A22" s="2" t="inlineStr"/>
      <c r="B22" s="2" t="inlineStr">
        <is>
          <t>4. All 7 one-off products on Android had been stuck as drafts since 8/21. Nobody could buy them. Fixed, live now.</t>
        </is>
      </c>
    </row>
    <row r="23" ht="16" customHeight="1">
      <c r="A23" s="2" t="inlineStr"/>
      <c r="B23" s="2" t="inlineStr">
        <is>
          <t>5. Plan prices shipped: Seed $10, Root $14, Bloom $17, Harvest $33. Apple and the website match to the penny.</t>
        </is>
      </c>
    </row>
    <row r="24" ht="16" customHeight="1">
      <c r="A24" s="2" t="inlineStr"/>
      <c r="B24" s="2" t="inlineStr">
        <is>
          <t>6. Horoscopes are only made ahead of time for star signs people actually read. Unread signs load when asked.</t>
        </is>
      </c>
    </row>
    <row r="25" ht="16" customHeight="1">
      <c r="A25" s="2" t="inlineStr"/>
      <c r="B25" s="2" t="inlineStr">
        <is>
          <t>7. The setup-text warmer works. A 1-card reading now costs about half what it did.</t>
        </is>
      </c>
    </row>
    <row r="26" ht="16" customHeight="1">
      <c r="A26" s="2" t="inlineStr"/>
      <c r="B26" s="2" t="inlineStr">
        <is>
          <t>8. Apple and Google both take 15 percent, not 30. We are enrolled in both small-business programs.</t>
        </is>
      </c>
    </row>
    <row r="27" ht="16" customHeight="1"/>
    <row r="28" ht="17" customHeight="1">
      <c r="A28" s="3" t="inlineStr"/>
      <c r="B28" s="3" t="inlineStr">
        <is>
          <t>STILL TO DECIDE</t>
        </is>
      </c>
    </row>
    <row r="29" ht="16" customHeight="1">
      <c r="A29" s="2" t="inlineStr"/>
      <c r="B29" s="2" t="inlineStr">
        <is>
          <t>1. Should Grok write the 1-card tarot too? See the CLAUDE vs GROK tab. It saves about 5 cents a reading. The question is whether it sounds right, not whether it saves money. Claude writes every real 1-card until Russ says otherwise.</t>
        </is>
      </c>
    </row>
    <row r="30" ht="16" customHeight="1">
      <c r="A30" s="2" t="inlineStr"/>
      <c r="B30" s="2" t="inlineStr">
        <is>
          <t>2. Should plans switch to a monthly pool of readings instead of fixed daily allowances? See section B on THE PLANS. Nothing has changed yet. Prices only.</t>
        </is>
      </c>
    </row>
    <row r="31" ht="16" customHeight="1"/>
    <row r="32" ht="17" customHeight="1">
      <c r="A32" s="3" t="inlineStr"/>
      <c r="B32" s="3" t="inlineStr">
        <is>
          <t>WHAT EACH TAB IS FOR</t>
        </is>
      </c>
    </row>
    <row r="33" ht="16" customHeight="1">
      <c r="A33" s="2" t="inlineStr"/>
      <c r="B33" s="2" t="inlineStr">
        <is>
          <t>THE BOTS</t>
        </is>
      </c>
      <c r="C33" s="2" t="inlineStr">
        <is>
          <t>Who does what, and where last month's money actually went.</t>
        </is>
      </c>
    </row>
    <row r="34" ht="16" customHeight="1">
      <c r="A34" s="2" t="inlineStr"/>
      <c r="B34" s="2" t="inlineStr">
        <is>
          <t>CLAUDE</t>
        </is>
      </c>
      <c r="C34" s="2" t="inlineStr">
        <is>
          <t>Every job Claude does, and what one piece of writing costs.</t>
        </is>
      </c>
    </row>
    <row r="35" ht="16" customHeight="1">
      <c r="A35" s="2" t="inlineStr"/>
      <c r="B35" s="2" t="inlineStr">
        <is>
          <t>GROK</t>
        </is>
      </c>
      <c r="C35" s="2" t="inlineStr">
        <is>
          <t>Every job Grok does, and what Claude used to charge for the same job.</t>
        </is>
      </c>
    </row>
    <row r="36" ht="16" customHeight="1">
      <c r="A36" s="2" t="inlineStr"/>
      <c r="B36" s="2" t="inlineStr">
        <is>
          <t>VOICE</t>
        </is>
      </c>
      <c r="C36" s="2" t="inlineStr">
        <is>
          <t>The bot that reads readings out loud.</t>
        </is>
      </c>
    </row>
    <row r="37" ht="16" customHeight="1">
      <c r="A37" s="2" t="inlineStr"/>
      <c r="B37" s="2" t="inlineStr">
        <is>
          <t>CLAUDE vs GROK</t>
        </is>
      </c>
      <c r="C37" s="2" t="inlineStr">
        <is>
          <t>The two bots on the same jobs, side by side. The 1-card decision lives here.</t>
        </is>
      </c>
    </row>
    <row r="38" ht="16" customHeight="1">
      <c r="A38" s="2" t="inlineStr"/>
      <c r="B38" s="2" t="inlineStr">
        <is>
          <t>PLAY WITH IT</t>
        </is>
      </c>
      <c r="C38" s="2" t="inlineStr">
        <is>
          <t>Type your own numbers. It adds itself up. Start here if you want to experiment.</t>
        </is>
      </c>
    </row>
    <row r="39" ht="16" customHeight="1">
      <c r="A39" s="2" t="inlineStr"/>
      <c r="B39" s="2" t="inlineStr">
        <is>
          <t>PRICE + PROFIT</t>
        </is>
      </c>
      <c r="C39" s="2" t="inlineStr">
        <is>
          <t>Every single thing we sell. Price, our cut, our profit.</t>
        </is>
      </c>
    </row>
    <row r="40" ht="16" customHeight="1">
      <c r="A40" s="2" t="inlineStr"/>
      <c r="B40" s="2" t="inlineStr">
        <is>
          <t>COST PER PERSON</t>
        </is>
      </c>
      <c r="C40" s="2" t="inlineStr">
        <is>
          <t>What one subscriber costs us in a month. Light user, normal user, heavy user.</t>
        </is>
      </c>
    </row>
    <row r="41" ht="16" customHeight="1">
      <c r="A41" s="2" t="inlineStr"/>
      <c r="B41" s="2" t="inlineStr">
        <is>
          <t>THE PLANS</t>
        </is>
      </c>
      <c r="C41" s="2" t="inlineStr">
        <is>
          <t>Seed, Root, Bloom, Harvest. Price against cost, monthly and yearly.</t>
        </is>
      </c>
    </row>
    <row r="42" ht="16" customHeight="1">
      <c r="A42" s="2" t="inlineStr"/>
      <c r="B42" s="2" t="inlineStr">
        <is>
          <t>MONTHLY BILL</t>
        </is>
      </c>
      <c r="C42" s="2" t="inlineStr">
        <is>
          <t>What we pay every month no matter what, and how many subscribers cover it.</t>
        </is>
      </c>
    </row>
    <row r="43" ht="16" customHeight="1">
      <c r="A43" s="2" t="inlineStr"/>
      <c r="B43" s="2" t="inlineStr">
        <is>
          <t>WHERE NUMBERS CAME FROM</t>
        </is>
      </c>
      <c r="C43" s="2" t="inlineStr">
        <is>
          <t>The receipts. Which database, which test, which date.</t>
        </is>
      </c>
    </row>
  </sheetData>
  <pageMargins left="0.75" right="0.75" top="1" bottom="1" header="0.5" footer="0.5"/>
</worksheet>
</file>

<file path=xl/worksheets/sheet2.xml><?xml version="1.0" encoding="utf-8"?>
<worksheet xmlns="http://schemas.openxmlformats.org/spreadsheetml/2006/main">
  <sheetPr>
    <tabColor rgb="FFB9A67A"/>
    <outlinePr summaryBelow="1" summaryRight="1"/>
    <pageSetUpPr/>
  </sheetPr>
  <dimension ref="A1:D23"/>
  <sheetViews>
    <sheetView workbookViewId="0">
      <selection activeCell="A1" sqref="A1"/>
    </sheetView>
  </sheetViews>
  <sheetFormatPr baseColWidth="8" defaultRowHeight="15"/>
  <cols>
    <col width="38" customWidth="1" min="1" max="1"/>
    <col width="18" customWidth="1" min="2" max="2"/>
    <col width="18" customWidth="1" min="3" max="3"/>
    <col width="68" customWidth="1" min="4" max="4"/>
  </cols>
  <sheetData>
    <row r="1" ht="17" customHeight="1">
      <c r="A1" s="1" t="inlineStr">
        <is>
          <t>THE BOTS - WHO DOES WHAT</t>
        </is>
      </c>
    </row>
    <row r="2" ht="16" customHeight="1">
      <c r="A2" s="2" t="inlineStr">
        <is>
          <t>Three bots. Each one has its own tab with the full detail. Colour tells you which bot you are looking at, on every sheet in this book.</t>
        </is>
      </c>
    </row>
    <row r="3" ht="16" customHeight="1"/>
    <row r="4" ht="16" customHeight="1">
      <c r="A4" s="8" t="inlineStr">
        <is>
          <t>Bot</t>
        </is>
      </c>
      <c r="B4" s="8" t="inlineStr">
        <is>
          <t>What it is</t>
        </is>
      </c>
      <c r="C4" s="8" t="inlineStr">
        <is>
          <t>The jobs it does</t>
        </is>
      </c>
      <c r="D4" s="8" t="inlineStr">
        <is>
          <t>Roughly what one piece of writing costs</t>
        </is>
      </c>
    </row>
    <row r="5" ht="16" customHeight="1">
      <c r="A5" s="9" t="inlineStr">
        <is>
          <t>Claude</t>
        </is>
      </c>
      <c r="B5" s="9" t="inlineStr">
        <is>
          <t>The careful writer</t>
        </is>
      </c>
      <c r="C5" s="9" t="inlineStr">
        <is>
          <t>All tarot readings, star charts, follow-up chat, the daily push line</t>
        </is>
      </c>
      <c r="D5" s="9" t="inlineStr">
        <is>
          <t>under a cent, up to 30 cents</t>
        </is>
      </c>
    </row>
    <row r="6" ht="16" customHeight="1">
      <c r="A6" s="10" t="inlineStr">
        <is>
          <t>Grok</t>
        </is>
      </c>
      <c r="B6" s="10" t="inlineStr">
        <is>
          <t>The fast writer</t>
        </is>
      </c>
      <c r="C6" s="10" t="inlineStr">
        <is>
          <t>Daily horoscope, weekly horoscope, collective horoscope, couples weekly</t>
        </is>
      </c>
      <c r="D6" s="10" t="inlineStr">
        <is>
          <t>under a cent, up to 3 cents</t>
        </is>
      </c>
    </row>
    <row r="7" ht="16" customHeight="1">
      <c r="A7" s="11" t="inlineStr">
        <is>
          <t>Voice</t>
        </is>
      </c>
      <c r="B7" s="11" t="inlineStr">
        <is>
          <t>A reading voice, not a writer</t>
        </is>
      </c>
      <c r="C7" s="11" t="inlineStr">
        <is>
          <t>Reads a finished reading out loud</t>
        </is>
      </c>
      <c r="D7" s="11" t="inlineStr">
        <is>
          <t>2 to 11 cents, then free forever</t>
        </is>
      </c>
    </row>
    <row r="8" ht="16" customHeight="1"/>
    <row r="9" ht="16" customHeight="1">
      <c r="A9" s="8" t="inlineStr">
        <is>
          <t>WHERE THE MONEY WENT, LAST 30 DAYS (measured)</t>
        </is>
      </c>
      <c r="B9" s="8" t="inlineStr"/>
      <c r="C9" s="8" t="inlineStr"/>
      <c r="D9" s="8" t="inlineStr"/>
    </row>
    <row r="10" ht="16" customHeight="1">
      <c r="A10" s="8" t="inlineStr">
        <is>
          <t>Job</t>
        </is>
      </c>
      <c r="B10" s="8" t="inlineStr">
        <is>
          <t>Bot it runs on NOW</t>
        </is>
      </c>
      <c r="C10" s="8" t="inlineStr">
        <is>
          <t>Cost, last 30 days</t>
        </is>
      </c>
      <c r="D10" s="8" t="inlineStr">
        <is>
          <t>Note</t>
        </is>
      </c>
    </row>
    <row r="11" ht="16" customHeight="1">
      <c r="A11" s="10" t="inlineStr">
        <is>
          <t>Daily horoscopes made ahead of time</t>
        </is>
      </c>
      <c r="B11" s="10" t="inlineStr">
        <is>
          <t>Grok</t>
        </is>
      </c>
      <c r="C11" s="12" t="n">
        <v>21.37</v>
      </c>
      <c r="D11" s="10" t="inlineStr">
        <is>
          <t>Ran on Claude for almost all of this window. Now Grok, and only for signs people actually read.</t>
        </is>
      </c>
    </row>
    <row r="12" ht="16" customHeight="1">
      <c r="A12" s="9" t="inlineStr">
        <is>
          <t>Tarot readings people asked for</t>
        </is>
      </c>
      <c r="B12" s="9" t="inlineStr">
        <is>
          <t>Claude</t>
        </is>
      </c>
      <c r="C12" s="13" t="n">
        <v>6.73</v>
      </c>
      <c r="D12" s="9" t="inlineStr">
        <is>
          <t>Claude, and staying Claude.</t>
        </is>
      </c>
    </row>
    <row r="13" ht="16" customHeight="1">
      <c r="A13" s="9" t="inlineStr">
        <is>
          <t>Setup-text warmer</t>
        </is>
      </c>
      <c r="B13" s="9" t="inlineStr">
        <is>
          <t>Claude</t>
        </is>
      </c>
      <c r="C13" s="13" t="n">
        <v>5.63</v>
      </c>
      <c r="D13" s="9" t="inlineStr">
        <is>
          <t>Buys back about $15 a month. Worth keeping.</t>
        </is>
      </c>
    </row>
    <row r="14" ht="16" customHeight="1">
      <c r="A14" s="10" t="inlineStr">
        <is>
          <t>Weekly horoscopes made ahead of time</t>
        </is>
      </c>
      <c r="B14" s="10" t="inlineStr">
        <is>
          <t>Grok</t>
        </is>
      </c>
      <c r="C14" s="12" t="n">
        <v>2.96</v>
      </c>
      <c r="D14" s="10" t="inlineStr">
        <is>
          <t>Ran on Claude. Now Grok.</t>
        </is>
      </c>
    </row>
    <row r="15" ht="16" customHeight="1">
      <c r="A15" s="9" t="inlineStr">
        <is>
          <t>Couples star charts</t>
        </is>
      </c>
      <c r="B15" s="9" t="inlineStr">
        <is>
          <t>Claude</t>
        </is>
      </c>
      <c r="C15" s="13" t="n">
        <v>2.92</v>
      </c>
      <c r="D15" s="9" t="inlineStr">
        <is>
          <t>Claude, and staying Claude.</t>
        </is>
      </c>
    </row>
    <row r="16" ht="16" customHeight="1">
      <c r="A16" s="9" t="inlineStr">
        <is>
          <t>Follow-up chat about a reading</t>
        </is>
      </c>
      <c r="B16" s="9" t="inlineStr">
        <is>
          <t>Claude</t>
        </is>
      </c>
      <c r="C16" s="13" t="n">
        <v>2.84</v>
      </c>
      <c r="D16" s="9" t="inlineStr">
        <is>
          <t>Claude, and staying Claude.</t>
        </is>
      </c>
    </row>
    <row r="17" ht="16" customHeight="1">
      <c r="A17" s="9" t="inlineStr">
        <is>
          <t>Daily push notification line</t>
        </is>
      </c>
      <c r="B17" s="9" t="inlineStr">
        <is>
          <t>Claude</t>
        </is>
      </c>
      <c r="C17" s="13" t="n">
        <v>1.23</v>
      </c>
      <c r="D17" s="9" t="inlineStr">
        <is>
          <t>Stays Claude on purpose. Grok cost MORE here.</t>
        </is>
      </c>
    </row>
    <row r="18" ht="16" customHeight="1">
      <c r="A18" s="10" t="inlineStr">
        <is>
          <t>Couples weekly horoscope</t>
        </is>
      </c>
      <c r="B18" s="10" t="inlineStr">
        <is>
          <t>Grok</t>
        </is>
      </c>
      <c r="C18" s="12" t="n">
        <v>1.11</v>
      </c>
      <c r="D18" s="10" t="inlineStr">
        <is>
          <t>Ran on Claude. Now Grok.</t>
        </is>
      </c>
    </row>
    <row r="19" ht="16" customHeight="1">
      <c r="A19" s="9" t="inlineStr">
        <is>
          <t>Solo star readings</t>
        </is>
      </c>
      <c r="B19" s="9" t="inlineStr">
        <is>
          <t>Claude</t>
        </is>
      </c>
      <c r="C19" s="13" t="n">
        <v>0.8</v>
      </c>
      <c r="D19" s="9" t="inlineStr">
        <is>
          <t>Claude, and staying Claude.</t>
        </is>
      </c>
    </row>
    <row r="20" ht="16" customHeight="1">
      <c r="A20" s="10" t="inlineStr">
        <is>
          <t>Daily collective horoscope</t>
        </is>
      </c>
      <c r="B20" s="10" t="inlineStr">
        <is>
          <t>Grok</t>
        </is>
      </c>
      <c r="C20" s="12" t="n">
        <v>0.6899999999999999</v>
      </c>
      <c r="D20" s="10" t="inlineStr">
        <is>
          <t>Ran on Claude. Now Grok.</t>
        </is>
      </c>
    </row>
    <row r="21" ht="16" customHeight="1">
      <c r="A21" s="14" t="inlineStr">
        <is>
          <t>TOTAL</t>
        </is>
      </c>
      <c r="B21" s="14" t="inlineStr"/>
      <c r="C21" s="15" t="n">
        <v>46.28</v>
      </c>
      <c r="D21" s="14" t="inlineStr">
        <is>
          <t>The bill for that window was $46.22. The few cents of difference is rounding on each line. This window is mostly BEFORE the 8/28 switch, so the same use today should land near $26.</t>
        </is>
      </c>
    </row>
    <row r="22" ht="16" customHeight="1"/>
    <row r="23" ht="16" customHeight="1">
      <c r="A23" s="2" t="inlineStr">
        <is>
          <t>Reading the chart below</t>
        </is>
      </c>
      <c r="B23" s="2" t="inlineStr"/>
      <c r="C23" s="2" t="inlineStr"/>
      <c r="D23" s="2" t="inlineStr">
        <is>
          <t>Each bar is coloured by the bot that does that job TODAY. Blue is Claude, green is Grok. The tall green bar on the left is the job that just got about 4 times cheaper.</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FF2E5C8A"/>
    <outlinePr summaryBelow="1" summaryRight="1"/>
    <pageSetUpPr/>
  </sheetPr>
  <dimension ref="A1:E20"/>
  <sheetViews>
    <sheetView workbookViewId="0">
      <pane ySplit="5" topLeftCell="A6" activePane="bottomLeft" state="frozen"/>
      <selection pane="bottomLeft" activeCell="A1" sqref="A1"/>
    </sheetView>
  </sheetViews>
  <sheetFormatPr baseColWidth="8" defaultRowHeight="15"/>
  <cols>
    <col width="36" customWidth="1" min="1" max="1"/>
    <col width="14" customWidth="1" min="2" max="2"/>
    <col width="24" customWidth="1" min="3" max="3"/>
    <col width="22" customWidth="1" min="4" max="4"/>
    <col width="68" customWidth="1" min="5" max="5"/>
  </cols>
  <sheetData>
    <row r="1" ht="17" customHeight="1">
      <c r="A1" s="1" t="inlineStr">
        <is>
          <t>CLAUDE - THE CAREFUL WRITER</t>
        </is>
      </c>
    </row>
    <row r="2" ht="16" customHeight="1">
      <c r="A2" s="2" t="inlineStr">
        <is>
          <t>Claude writes every tarot reading and every deep star chart. It is the most expensive bot we use, and that is on purpose. The readings are the product.</t>
        </is>
      </c>
    </row>
    <row r="3" ht="16" customHeight="1">
      <c r="A3" s="2" t="inlineStr">
        <is>
          <t>'Cost each time' means what we pay for ONE piece of writing. 'Times a month' is what a normal subscriber actually does, measured from real accounts.</t>
        </is>
      </c>
    </row>
    <row r="4" ht="16" customHeight="1"/>
    <row r="5" ht="16" customHeight="1">
      <c r="A5" s="8" t="inlineStr">
        <is>
          <t>Job Claude does</t>
        </is>
      </c>
      <c r="B5" s="8" t="inlineStr">
        <is>
          <t>Cost each time</t>
        </is>
      </c>
      <c r="C5" s="8" t="inlineStr">
        <is>
          <t>Times a month (normal user)</t>
        </is>
      </c>
      <c r="D5" s="8" t="inlineStr">
        <is>
          <t>Cost a month (normal user)</t>
        </is>
      </c>
      <c r="E5" s="8" t="inlineStr">
        <is>
          <t>Note</t>
        </is>
      </c>
    </row>
    <row r="6" ht="16" customHeight="1">
      <c r="A6" s="9" t="inlineStr">
        <is>
          <t>1-card reading</t>
        </is>
      </c>
      <c r="B6" s="16" t="n">
        <v>0.0987</v>
      </c>
      <c r="C6" s="17" t="n">
        <v>5</v>
      </c>
      <c r="D6" s="13" t="n">
        <v>0.4935</v>
      </c>
      <c r="E6" s="9" t="inlineStr">
        <is>
          <t>Half what it used to cost, thanks to the setup-text warmer.</t>
        </is>
      </c>
    </row>
    <row r="7" ht="16" customHeight="1">
      <c r="A7" s="9" t="inlineStr">
        <is>
          <t>3-card reading</t>
        </is>
      </c>
      <c r="B7" s="16" t="n">
        <v>0.2177</v>
      </c>
      <c r="C7" s="17" t="n">
        <v>2</v>
      </c>
      <c r="D7" s="13" t="n">
        <v>0.4354</v>
      </c>
      <c r="E7" s="9" t="inlineStr"/>
    </row>
    <row r="8" ht="16" customHeight="1">
      <c r="A8" s="9" t="inlineStr">
        <is>
          <t>5-card situational</t>
        </is>
      </c>
      <c r="B8" s="16" t="n">
        <v>0.294</v>
      </c>
      <c r="C8" s="17" t="n">
        <v>1</v>
      </c>
      <c r="D8" s="13" t="n">
        <v>0.294</v>
      </c>
      <c r="E8" s="9" t="inlineStr"/>
    </row>
    <row r="9" ht="16" customHeight="1">
      <c r="A9" s="9" t="inlineStr">
        <is>
          <t>6-card reading</t>
        </is>
      </c>
      <c r="B9" s="16" t="n">
        <v>0.2156</v>
      </c>
      <c r="C9" s="17" t="n">
        <v>0.5</v>
      </c>
      <c r="D9" s="13" t="n">
        <v>0.1078</v>
      </c>
      <c r="E9" s="9" t="inlineStr"/>
    </row>
    <row r="10" ht="16" customHeight="1">
      <c r="A10" s="9" t="inlineStr">
        <is>
          <t>7-card couples tarot</t>
        </is>
      </c>
      <c r="B10" s="16" t="n">
        <v>0.2308</v>
      </c>
      <c r="C10" s="17" t="n">
        <v>0</v>
      </c>
      <c r="D10" s="13" t="n">
        <v>0</v>
      </c>
      <c r="E10" s="9" t="inlineStr">
        <is>
          <t>No reading made since the warmer shipped, so this is the older number.</t>
        </is>
      </c>
    </row>
    <row r="11" ht="16" customHeight="1">
      <c r="A11" s="9" t="inlineStr">
        <is>
          <t>10-card Celtic Cross</t>
        </is>
      </c>
      <c r="B11" s="16" t="n">
        <v>0.3196</v>
      </c>
      <c r="C11" s="17" t="n">
        <v>0.3</v>
      </c>
      <c r="D11" s="13" t="n">
        <v>0.09587999999999999</v>
      </c>
      <c r="E11" s="9" t="inlineStr">
        <is>
          <t>The biggest tarot spread we sell.</t>
        </is>
      </c>
    </row>
    <row r="12" ht="16" customHeight="1">
      <c r="A12" s="9" t="inlineStr">
        <is>
          <t>Follow-up chat about a reading</t>
        </is>
      </c>
      <c r="B12" s="16" t="n">
        <v>0.0824</v>
      </c>
      <c r="C12" s="17" t="n">
        <v>3</v>
      </c>
      <c r="D12" s="13" t="n">
        <v>0.2472</v>
      </c>
      <c r="E12" s="9" t="inlineStr">
        <is>
          <t>The first reply on each reading is free to the customer.</t>
        </is>
      </c>
    </row>
    <row r="13" ht="16" customHeight="1">
      <c r="A13" s="9" t="inlineStr">
        <is>
          <t>Solo star reading</t>
        </is>
      </c>
      <c r="B13" s="16" t="n">
        <v>0.268</v>
      </c>
      <c r="C13" s="17" t="n">
        <v>0.1</v>
      </c>
      <c r="D13" s="13" t="n">
        <v>0.0268</v>
      </c>
      <c r="E13" s="9" t="inlineStr">
        <is>
          <t>First one free, forever. After that it costs a credit.</t>
        </is>
      </c>
    </row>
    <row r="14" ht="16" customHeight="1">
      <c r="A14" s="9" t="inlineStr">
        <is>
          <t>Couples star chart</t>
        </is>
      </c>
      <c r="B14" s="16" t="n">
        <v>0.1621</v>
      </c>
      <c r="C14" s="17" t="n">
        <v>0</v>
      </c>
      <c r="D14" s="13" t="n">
        <v>0</v>
      </c>
      <c r="E14" s="9" t="inlineStr">
        <is>
          <t>Once per couple.</t>
        </is>
      </c>
    </row>
    <row r="15" ht="16" customHeight="1">
      <c r="A15" s="9" t="inlineStr">
        <is>
          <t>Birthday year-ahead</t>
        </is>
      </c>
      <c r="B15" s="16" t="n">
        <v>0.3</v>
      </c>
      <c r="C15" s="17" t="n">
        <v>0.083</v>
      </c>
      <c r="D15" s="13" t="n">
        <v>0.0249</v>
      </c>
      <c r="E15" s="9" t="inlineStr">
        <is>
          <t>Estimate. The feature is live but nobody has had a birthday on it yet.</t>
        </is>
      </c>
    </row>
    <row r="16" ht="16" customHeight="1">
      <c r="A16" s="9" t="inlineStr">
        <is>
          <t>Daily push notification line</t>
        </is>
      </c>
      <c r="B16" s="16" t="n">
        <v>0.0058</v>
      </c>
      <c r="C16" s="17" t="n">
        <v>20</v>
      </c>
      <c r="D16" s="13" t="n">
        <v>0.116</v>
      </c>
      <c r="E16" s="9" t="inlineStr">
        <is>
          <t>14 words. Stays on Claude because Grok cost MORE here, not less.</t>
        </is>
      </c>
    </row>
    <row r="17" ht="16" customHeight="1">
      <c r="A17" s="14" t="inlineStr">
        <is>
          <t>CLAUDE COST FOR ONE NORMAL SUBSCRIBER, PER MONTH</t>
        </is>
      </c>
      <c r="B17" s="14" t="inlineStr"/>
      <c r="C17" s="14" t="inlineStr"/>
      <c r="D17" s="15" t="n">
        <v>1.84148</v>
      </c>
      <c r="E17" s="14" t="inlineStr">
        <is>
          <t>Compare: the cheapest plan brings in $8.50 after Apple's cut.</t>
        </is>
      </c>
    </row>
    <row r="18" ht="16" customHeight="1"/>
    <row r="19" ht="16" customHeight="1">
      <c r="A19" s="8" t="inlineStr">
        <is>
          <t>ONE MORE CLAUDE COST THAT IS NOT PER PERSON</t>
        </is>
      </c>
      <c r="B19" s="8" t="inlineStr"/>
      <c r="C19" s="8" t="inlineStr"/>
      <c r="D19" s="8" t="inlineStr"/>
      <c r="E19" s="8" t="inlineStr"/>
    </row>
    <row r="20" ht="16" customHeight="1">
      <c r="A20" s="9" t="inlineStr">
        <is>
          <t>Setup-text warmer</t>
        </is>
      </c>
      <c r="B20" s="16" t="n">
        <v>0.0191</v>
      </c>
      <c r="C20" s="17" t="n">
        <v>295</v>
      </c>
      <c r="D20" s="13" t="n">
        <v>5.63</v>
      </c>
      <c r="E20" s="9" t="inlineStr">
        <is>
          <t>A tiny job every 10 minutes that keeps the reading setup text 'warm' so real readings cost less. Costs $5.63 a month, saves about $15 a month. Keep it.</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FF3F7A4E"/>
    <outlinePr summaryBelow="1" summaryRight="1"/>
    <pageSetUpPr/>
  </sheetPr>
  <dimension ref="A1:F22"/>
  <sheetViews>
    <sheetView workbookViewId="0">
      <pane ySplit="5" topLeftCell="A6" activePane="bottomLeft" state="frozen"/>
      <selection pane="bottomLeft" activeCell="A1" sqref="A1"/>
    </sheetView>
  </sheetViews>
  <sheetFormatPr baseColWidth="8" defaultRowHeight="15"/>
  <cols>
    <col width="32" customWidth="1" min="1" max="1"/>
    <col width="18" customWidth="1" min="2" max="2"/>
    <col width="21" customWidth="1" min="3" max="3"/>
    <col width="14" customWidth="1" min="4" max="4"/>
    <col width="17" customWidth="1" min="5" max="5"/>
    <col width="68" customWidth="1" min="6" max="6"/>
  </cols>
  <sheetData>
    <row r="1" ht="17" customHeight="1">
      <c r="A1" s="1" t="inlineStr">
        <is>
          <t>GROK - THE FAST WRITER</t>
        </is>
      </c>
    </row>
    <row r="2" ht="16" customHeight="1">
      <c r="A2" s="2" t="inlineStr">
        <is>
          <t>Grok took over the horoscopes on 8/28. Same jobs, same prompts, about 4 times cheaper. Ten side-by-side tests, zero blank answers, all the astrology facts correct.</t>
        </is>
      </c>
    </row>
    <row r="3" ht="16" customHeight="1">
      <c r="A3" s="2" t="inlineStr">
        <is>
          <t>Horoscopes are written once per star sign and shared by everyone with that sign. So one payment covers a lot of people.</t>
        </is>
      </c>
    </row>
    <row r="4" ht="16" customHeight="1"/>
    <row r="5" ht="16" customHeight="1">
      <c r="A5" s="8" t="inlineStr">
        <is>
          <t>Job Grok does</t>
        </is>
      </c>
      <c r="B5" s="8" t="inlineStr">
        <is>
          <t>Cost each time NOW</t>
        </is>
      </c>
      <c r="C5" s="8" t="inlineStr">
        <is>
          <t>Cost when Claude did it</t>
        </is>
      </c>
      <c r="D5" s="8" t="inlineStr">
        <is>
          <t>Times cheaper</t>
        </is>
      </c>
      <c r="E5" s="8" t="inlineStr">
        <is>
          <t>Status</t>
        </is>
      </c>
      <c r="F5" s="8" t="inlineStr">
        <is>
          <t>Note</t>
        </is>
      </c>
    </row>
    <row r="6" ht="16" customHeight="1">
      <c r="A6" s="10" t="inlineStr">
        <is>
          <t>Daily horoscope, one star sign</t>
        </is>
      </c>
      <c r="B6" s="18" t="n">
        <v>0.0107</v>
      </c>
      <c r="C6" s="18" t="n">
        <v>0.0412</v>
      </c>
      <c r="D6" s="19" t="n">
        <v>3.850467289719627</v>
      </c>
      <c r="E6" s="10" t="inlineStr">
        <is>
          <t>LIVE on Grok</t>
        </is>
      </c>
      <c r="F6" s="10" t="inlineStr">
        <is>
          <t>Measured head to head on the real prompt.</t>
        </is>
      </c>
    </row>
    <row r="7" ht="16" customHeight="1">
      <c r="A7" s="10" t="inlineStr">
        <is>
          <t>Weekly horoscope, one star sign</t>
        </is>
      </c>
      <c r="B7" s="18" t="n">
        <v>0.008800000000000001</v>
      </c>
      <c r="C7" s="18" t="n">
        <v>0.0303</v>
      </c>
      <c r="D7" s="19" t="n">
        <v>3.443181818181818</v>
      </c>
      <c r="E7" s="10" t="inlineStr">
        <is>
          <t>LIVE on Grok</t>
        </is>
      </c>
      <c r="F7" s="10" t="inlineStr">
        <is>
          <t>Measured head to head on the real prompt.</t>
        </is>
      </c>
    </row>
    <row r="8" ht="16" customHeight="1">
      <c r="A8" s="10" t="inlineStr">
        <is>
          <t>Daily collective horoscope</t>
        </is>
      </c>
      <c r="B8" s="18" t="n">
        <v>0.0073</v>
      </c>
      <c r="C8" s="18" t="n">
        <v>0.0287</v>
      </c>
      <c r="D8" s="19" t="n">
        <v>3.931506849315068</v>
      </c>
      <c r="E8" s="10" t="inlineStr">
        <is>
          <t>LIVE on Grok</t>
        </is>
      </c>
      <c r="F8" s="10" t="inlineStr">
        <is>
          <t>Estimate. Same lane as the daily, so the same saving applies.</t>
        </is>
      </c>
    </row>
    <row r="9" ht="16" customHeight="1">
      <c r="A9" s="10" t="inlineStr">
        <is>
          <t>Couples weekly horoscope</t>
        </is>
      </c>
      <c r="B9" s="18" t="n">
        <v>0.0312</v>
      </c>
      <c r="C9" s="18" t="n">
        <v>0.1228</v>
      </c>
      <c r="D9" s="19" t="n">
        <v>3.935897435897436</v>
      </c>
      <c r="E9" s="10" t="inlineStr">
        <is>
          <t>LIVE on Grok</t>
        </is>
      </c>
      <c r="F9" s="10" t="inlineStr">
        <is>
          <t>Estimate. Bloom and up, for couples who linked accounts.</t>
        </is>
      </c>
    </row>
    <row r="10" ht="16" customHeight="1"/>
    <row r="11" ht="16" customHeight="1">
      <c r="A11" s="8" t="inlineStr">
        <is>
          <t>WHERE GROK LOST</t>
        </is>
      </c>
      <c r="B11" s="8" t="inlineStr"/>
      <c r="C11" s="8" t="inlineStr"/>
      <c r="D11" s="8" t="inlineStr"/>
      <c r="E11" s="8" t="inlineStr"/>
      <c r="F11" s="8" t="inlineStr"/>
    </row>
    <row r="12" ht="16" customHeight="1">
      <c r="A12" s="2" t="inlineStr">
        <is>
          <t>Daily push notification line</t>
        </is>
      </c>
      <c r="B12" s="20" t="n">
        <v>0.0073</v>
      </c>
      <c r="C12" s="20" t="n">
        <v>0.0058</v>
      </c>
      <c r="D12" s="2" t="inlineStr"/>
      <c r="E12" s="2" t="inlineStr">
        <is>
          <t>STAYS on Claude</t>
        </is>
      </c>
      <c r="F12" s="2" t="inlineStr">
        <is>
          <t>Grok cost about 1.3 times MORE here, not less. It is only 14 words, so Grok's minimum charge is bigger than the whole job. Left on Claude on purpose.</t>
        </is>
      </c>
    </row>
    <row r="13" ht="16" customHeight="1"/>
    <row r="14" ht="16" customHeight="1">
      <c r="A14" s="8" t="inlineStr">
        <is>
          <t>NOT DECIDED YET</t>
        </is>
      </c>
      <c r="B14" s="8" t="inlineStr"/>
      <c r="C14" s="8" t="inlineStr"/>
      <c r="D14" s="8" t="inlineStr"/>
      <c r="E14" s="8" t="inlineStr"/>
      <c r="F14" s="8" t="inlineStr"/>
    </row>
    <row r="15" ht="16" customHeight="1">
      <c r="A15" s="21" t="inlineStr">
        <is>
          <t>1-card tarot reading</t>
        </is>
      </c>
      <c r="B15" s="22" t="n">
        <v>0.0482</v>
      </c>
      <c r="C15" s="22" t="n">
        <v>0.0987</v>
      </c>
      <c r="D15" s="23" t="n">
        <v>2.047717842323651</v>
      </c>
      <c r="E15" s="21" t="inlineStr">
        <is>
          <t>STILL A DECISION</t>
        </is>
      </c>
      <c r="F15" s="21" t="inlineStr">
        <is>
          <t>Graded 8/29. Saves about 5 cents a reading. Claude writes every real 1-card until Russ picks. Full detail on the CLAUDE vs GROK tab.</t>
        </is>
      </c>
    </row>
    <row r="16" ht="16" customHeight="1"/>
    <row r="17" ht="16" customHeight="1">
      <c r="A17" s="8" t="inlineStr">
        <is>
          <t>WHAT THE SWITCH IS WORTH, PER MONTH</t>
        </is>
      </c>
      <c r="B17" s="8" t="inlineStr"/>
      <c r="C17" s="8" t="inlineStr"/>
      <c r="D17" s="8" t="inlineStr"/>
      <c r="E17" s="8" t="inlineStr"/>
      <c r="F17" s="8" t="inlineStr"/>
    </row>
    <row r="18" ht="16" customHeight="1">
      <c r="A18" s="2" t="inlineStr">
        <is>
          <t>Horoscopes on Claude, before</t>
        </is>
      </c>
      <c r="B18" s="7" t="n">
        <v>26.13</v>
      </c>
      <c r="C18" s="2" t="inlineStr"/>
      <c r="D18" s="2" t="inlineStr"/>
      <c r="E18" s="2" t="inlineStr"/>
      <c r="F18" s="2" t="inlineStr">
        <is>
          <t>Same amount of use, old prices.</t>
        </is>
      </c>
    </row>
    <row r="19" ht="16" customHeight="1">
      <c r="A19" s="10" t="inlineStr">
        <is>
          <t>Horoscopes on Grok, now</t>
        </is>
      </c>
      <c r="B19" s="12" t="n">
        <v>6.88</v>
      </c>
      <c r="C19" s="10" t="inlineStr"/>
      <c r="D19" s="10" t="inlineStr"/>
      <c r="E19" s="10" t="inlineStr"/>
      <c r="F19" s="10" t="inlineStr">
        <is>
          <t>Same amount of use, new bot.</t>
        </is>
      </c>
    </row>
    <row r="20" ht="16" customHeight="1">
      <c r="A20" s="14" t="inlineStr">
        <is>
          <t>Saved every month</t>
        </is>
      </c>
      <c r="B20" s="15" t="n">
        <v>19.25</v>
      </c>
      <c r="C20" s="14" t="inlineStr"/>
      <c r="D20" s="14" t="inlineStr"/>
      <c r="E20" s="14" t="inlineStr"/>
      <c r="F20" s="14" t="inlineStr">
        <is>
          <t>This is most of why the bot bill drops from $46.22 to about $25 or $26.</t>
        </is>
      </c>
    </row>
    <row r="21" ht="16" customHeight="1"/>
    <row r="22" ht="16" customHeight="1">
      <c r="A22" s="2" t="inlineStr">
        <is>
          <t>Kill switch</t>
        </is>
      </c>
      <c r="B22" s="2" t="inlineStr"/>
      <c r="C22" s="2" t="inlineStr"/>
      <c r="D22" s="2" t="inlineStr"/>
      <c r="E22" s="2" t="inlineStr"/>
      <c r="F22" s="2" t="inlineStr">
        <is>
          <t>One setting turns Grok off and puts every horoscope back on Claude. One deploy. Nothing else changes.</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FFB5822E"/>
    <outlinePr summaryBelow="1" summaryRight="1"/>
    <pageSetUpPr/>
  </sheetPr>
  <dimension ref="A1:F11"/>
  <sheetViews>
    <sheetView workbookViewId="0">
      <selection activeCell="A1" sqref="A1"/>
    </sheetView>
  </sheetViews>
  <sheetFormatPr baseColWidth="8" defaultRowHeight="15"/>
  <cols>
    <col width="30" customWidth="1" min="1" max="1"/>
    <col width="19" customWidth="1" min="2" max="2"/>
    <col width="21" customWidth="1" min="3" max="3"/>
    <col width="24" customWidth="1" min="4" max="4"/>
    <col width="14" customWidth="1" min="5" max="5"/>
    <col width="68" customWidth="1" min="6" max="6"/>
  </cols>
  <sheetData>
    <row r="1" ht="17" customHeight="1">
      <c r="A1" s="1" t="inlineStr">
        <is>
          <t>VOICE - THE ONE THAT READS OUT LOUD</t>
        </is>
      </c>
    </row>
    <row r="2" ht="16" customHeight="1">
      <c r="A2" s="2" t="inlineStr">
        <is>
          <t>Voice does not write anything. It takes a reading Claude already wrote and speaks it. It is a different company and a different bill from Claude and Grok.</t>
        </is>
      </c>
    </row>
    <row r="3" ht="16" customHeight="1">
      <c r="A3" s="2" t="inlineStr">
        <is>
          <t>The important bit: we save the audio file the first time. Every replay after that costs nothing at all.</t>
        </is>
      </c>
    </row>
    <row r="4" ht="16" customHeight="1"/>
    <row r="5" ht="16" customHeight="1">
      <c r="A5" s="8" t="inlineStr">
        <is>
          <t>Job</t>
        </is>
      </c>
      <c r="B5" s="8" t="inlineStr">
        <is>
          <t>Cost the FIRST time</t>
        </is>
      </c>
      <c r="C5" s="8" t="inlineStr">
        <is>
          <t>Cost every replay after</t>
        </is>
      </c>
      <c r="D5" s="8" t="inlineStr">
        <is>
          <t>Times a month (normal user)</t>
        </is>
      </c>
      <c r="E5" s="8" t="inlineStr">
        <is>
          <t>Cost a month</t>
        </is>
      </c>
      <c r="F5" s="8" t="inlineStr">
        <is>
          <t>Note</t>
        </is>
      </c>
    </row>
    <row r="6" ht="16" customHeight="1">
      <c r="A6" s="11" t="inlineStr">
        <is>
          <t>Audio for a short reading</t>
        </is>
      </c>
      <c r="B6" s="24" t="n">
        <v>0.0189</v>
      </c>
      <c r="C6" s="24" t="n">
        <v>0</v>
      </c>
      <c r="D6" s="25" t="n">
        <v>1</v>
      </c>
      <c r="E6" s="26" t="n">
        <v>0.0189</v>
      </c>
      <c r="F6" s="11" t="inlineStr">
        <is>
          <t>A 1-card or 3-card reading.</t>
        </is>
      </c>
    </row>
    <row r="7" ht="16" customHeight="1">
      <c r="A7" s="11" t="inlineStr">
        <is>
          <t>Audio for a long reading</t>
        </is>
      </c>
      <c r="B7" s="24" t="n">
        <v>0.1143</v>
      </c>
      <c r="C7" s="24" t="n">
        <v>0</v>
      </c>
      <c r="D7" s="25" t="n">
        <v>1</v>
      </c>
      <c r="E7" s="26" t="n">
        <v>0.1143</v>
      </c>
      <c r="F7" s="11" t="inlineStr">
        <is>
          <t>A 10-card Celtic Cross, or a star chart.</t>
        </is>
      </c>
    </row>
    <row r="8" ht="16" customHeight="1">
      <c r="A8" s="14" t="inlineStr">
        <is>
          <t>VOICE COST FOR ONE NORMAL SUBSCRIBER, PER MONTH</t>
        </is>
      </c>
      <c r="B8" s="14" t="inlineStr"/>
      <c r="C8" s="14" t="inlineStr"/>
      <c r="D8" s="14" t="inlineStr"/>
      <c r="E8" s="15" t="n">
        <v>0.1332</v>
      </c>
      <c r="F8" s="14" t="inlineStr">
        <is>
          <t>About 13 cents. Voice is the cheapest thing in this whole book.</t>
        </is>
      </c>
    </row>
    <row r="9" ht="16" customHeight="1"/>
    <row r="10" ht="16" customHeight="1">
      <c r="A10" s="8" t="inlineStr">
        <is>
          <t>HOW CUSTOMERS PAY FOR IT</t>
        </is>
      </c>
      <c r="B10" s="8" t="inlineStr"/>
      <c r="C10" s="8" t="inlineStr"/>
      <c r="D10" s="8" t="inlineStr"/>
      <c r="E10" s="8" t="inlineStr"/>
      <c r="F10" s="8" t="inlineStr"/>
    </row>
    <row r="11" ht="16" customHeight="1">
      <c r="A11" s="2" t="inlineStr">
        <is>
          <t>Audio costs the customer 1 credit</t>
        </is>
      </c>
      <c r="B11" s="2" t="inlineStr"/>
      <c r="C11" s="2" t="inlineStr"/>
      <c r="D11" s="2" t="inlineStr"/>
      <c r="E11" s="2" t="inlineStr"/>
      <c r="F11" s="2" t="inlineStr">
        <is>
          <t>Credits come in packs: 5 for $5.99 or 10 for $9.99. So a credit sells for about $1 and costs us under 12 cents.</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FF6B4E8A"/>
    <outlinePr summaryBelow="1" summaryRight="1"/>
    <pageSetUpPr/>
  </sheetPr>
  <dimension ref="A1:G28"/>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15" customWidth="1" min="3" max="3"/>
    <col width="16" customWidth="1" min="4" max="4"/>
    <col width="17" customWidth="1" min="5" max="5"/>
    <col width="17" customWidth="1" min="6" max="6"/>
    <col width="68" customWidth="1" min="7" max="7"/>
  </cols>
  <sheetData>
    <row r="1" ht="17" customHeight="1">
      <c r="A1" s="1" t="inlineStr">
        <is>
          <t>CLAUDE vs GROK - THE SAME JOBS, SIDE BY SIDE</t>
        </is>
      </c>
    </row>
    <row r="2" ht="16" customHeight="1">
      <c r="A2" s="2" t="inlineStr">
        <is>
          <t>Every row below is the SAME job, given to both bots, using the exact prompt the real app uses. The cost is what each bot actually charged.</t>
        </is>
      </c>
    </row>
    <row r="3" ht="16" customHeight="1"/>
    <row r="4" ht="16" customHeight="1">
      <c r="A4" s="8" t="inlineStr">
        <is>
          <t>Job</t>
        </is>
      </c>
      <c r="B4" s="8" t="inlineStr">
        <is>
          <t>Claude costs</t>
        </is>
      </c>
      <c r="C4" s="8" t="inlineStr">
        <is>
          <t>Grok costs</t>
        </is>
      </c>
      <c r="D4" s="8" t="inlineStr">
        <is>
          <t>Cheaper bot</t>
        </is>
      </c>
      <c r="E4" s="8" t="inlineStr">
        <is>
          <t>How much cheaper</t>
        </is>
      </c>
      <c r="F4" s="8" t="inlineStr">
        <is>
          <t>Who does it today</t>
        </is>
      </c>
      <c r="G4" s="8" t="inlineStr">
        <is>
          <t>Note</t>
        </is>
      </c>
    </row>
    <row r="5" ht="16" customHeight="1">
      <c r="A5" s="10" t="inlineStr">
        <is>
          <t>Daily horoscope</t>
        </is>
      </c>
      <c r="B5" s="18" t="n">
        <v>0.0412</v>
      </c>
      <c r="C5" s="18" t="n">
        <v>0.0107</v>
      </c>
      <c r="D5" s="10" t="inlineStr">
        <is>
          <t>Grok</t>
        </is>
      </c>
      <c r="E5" s="19" t="n">
        <v>3.850467289719627</v>
      </c>
      <c r="F5" s="10" t="inlineStr">
        <is>
          <t>GROK</t>
        </is>
      </c>
      <c r="G5" s="10" t="inlineStr">
        <is>
          <t>Measured. Live since 8/28.</t>
        </is>
      </c>
    </row>
    <row r="6" ht="16" customHeight="1">
      <c r="A6" s="10" t="inlineStr">
        <is>
          <t>Weekly horoscope</t>
        </is>
      </c>
      <c r="B6" s="18" t="n">
        <v>0.0303</v>
      </c>
      <c r="C6" s="18" t="n">
        <v>0.008800000000000001</v>
      </c>
      <c r="D6" s="10" t="inlineStr">
        <is>
          <t>Grok</t>
        </is>
      </c>
      <c r="E6" s="19" t="n">
        <v>3.443181818181818</v>
      </c>
      <c r="F6" s="10" t="inlineStr">
        <is>
          <t>GROK</t>
        </is>
      </c>
      <c r="G6" s="10" t="inlineStr">
        <is>
          <t>Measured. Live since 8/28.</t>
        </is>
      </c>
    </row>
    <row r="7" ht="16" customHeight="1">
      <c r="A7" s="10" t="inlineStr">
        <is>
          <t>Daily collective horoscope</t>
        </is>
      </c>
      <c r="B7" s="18" t="n">
        <v>0.0287</v>
      </c>
      <c r="C7" s="18" t="n">
        <v>0.0073</v>
      </c>
      <c r="D7" s="10" t="inlineStr">
        <is>
          <t>Grok</t>
        </is>
      </c>
      <c r="E7" s="19" t="n">
        <v>3.931506849315068</v>
      </c>
      <c r="F7" s="10" t="inlineStr">
        <is>
          <t>GROK</t>
        </is>
      </c>
      <c r="G7" s="10" t="inlineStr">
        <is>
          <t>Estimate, same lane as the daily.</t>
        </is>
      </c>
    </row>
    <row r="8" ht="16" customHeight="1">
      <c r="A8" s="10" t="inlineStr">
        <is>
          <t>Couples weekly horoscope</t>
        </is>
      </c>
      <c r="B8" s="18" t="n">
        <v>0.1228</v>
      </c>
      <c r="C8" s="18" t="n">
        <v>0.0312</v>
      </c>
      <c r="D8" s="10" t="inlineStr">
        <is>
          <t>Grok</t>
        </is>
      </c>
      <c r="E8" s="19" t="n">
        <v>3.935897435897436</v>
      </c>
      <c r="F8" s="10" t="inlineStr">
        <is>
          <t>GROK</t>
        </is>
      </c>
      <c r="G8" s="10" t="inlineStr">
        <is>
          <t>Estimate, same lane as the daily.</t>
        </is>
      </c>
    </row>
    <row r="9" ht="16" customHeight="1">
      <c r="A9" s="9" t="inlineStr">
        <is>
          <t>Daily push notification line</t>
        </is>
      </c>
      <c r="B9" s="16" t="n">
        <v>0.0058</v>
      </c>
      <c r="C9" s="16" t="n">
        <v>0.0073</v>
      </c>
      <c r="D9" s="9" t="inlineStr">
        <is>
          <t>Claude</t>
        </is>
      </c>
      <c r="E9" s="27" t="n">
        <v>1.258620689655173</v>
      </c>
      <c r="F9" s="9" t="inlineStr">
        <is>
          <t>CLAUDE</t>
        </is>
      </c>
      <c r="G9" s="9" t="inlineStr">
        <is>
          <t>Grok cost MORE. Only 14 words, so Grok's minimum charge wins.</t>
        </is>
      </c>
    </row>
    <row r="10" ht="16" customHeight="1">
      <c r="A10" s="9" t="inlineStr">
        <is>
          <t>1-card tarot reading</t>
        </is>
      </c>
      <c r="B10" s="16" t="n">
        <v>0.0987</v>
      </c>
      <c r="C10" s="16" t="n">
        <v>0.0482</v>
      </c>
      <c r="D10" s="9" t="inlineStr">
        <is>
          <t>Grok</t>
        </is>
      </c>
      <c r="E10" s="27" t="n">
        <v>2.047717842323651</v>
      </c>
      <c r="F10" s="9" t="inlineStr">
        <is>
          <t>CLAUDE, for now</t>
        </is>
      </c>
      <c r="G10" s="9" t="inlineStr">
        <is>
          <t>Graded 8/29. Not decided. See below.</t>
        </is>
      </c>
    </row>
    <row r="11" ht="16" customHeight="1"/>
    <row r="12" ht="16" customHeight="1">
      <c r="A12" s="28" t="inlineStr">
        <is>
          <t>THE ONLY OPEN QUESTION: SHOULD GROK WRITE THE 1-CARD TAROT?</t>
        </is>
      </c>
      <c r="B12" s="28" t="inlineStr"/>
      <c r="C12" s="28" t="inlineStr"/>
      <c r="D12" s="28" t="inlineStr"/>
      <c r="E12" s="28" t="inlineStr"/>
      <c r="F12" s="28" t="inlineStr"/>
      <c r="G12" s="28" t="inlineStr"/>
    </row>
    <row r="13" ht="16" customHeight="1">
      <c r="A13" s="8" t="inlineStr">
        <is>
          <t>What it does to the money</t>
        </is>
      </c>
      <c r="B13" s="8" t="inlineStr">
        <is>
          <t>On Claude today</t>
        </is>
      </c>
      <c r="C13" s="8" t="inlineStr">
        <is>
          <t>If Grok did it</t>
        </is>
      </c>
      <c r="D13" s="8" t="inlineStr">
        <is>
          <t>Better by</t>
        </is>
      </c>
      <c r="E13" s="8" t="inlineStr"/>
      <c r="F13" s="8" t="inlineStr"/>
      <c r="G13" s="8" t="inlineStr">
        <is>
          <t>Note</t>
        </is>
      </c>
    </row>
    <row r="14" ht="16" customHeight="1">
      <c r="A14" s="2" t="inlineStr">
        <is>
          <t>Cost of one reading</t>
        </is>
      </c>
      <c r="B14" s="20" t="n">
        <v>0.0987</v>
      </c>
      <c r="C14" s="20" t="n">
        <v>0.0482</v>
      </c>
      <c r="D14" s="20" t="n">
        <v>0.0505</v>
      </c>
      <c r="E14" s="2" t="inlineStr"/>
      <c r="F14" s="2" t="inlineStr"/>
      <c r="G14" s="2" t="inlineStr">
        <is>
          <t>Claude's number includes the times the cheap setup text was cold. Grok gets no setup-text discount at all, so its number is already the real one.</t>
        </is>
      </c>
    </row>
    <row r="15" ht="16" customHeight="1">
      <c r="A15" s="2" t="inlineStr">
        <is>
          <t>Cost for a normal subscriber, per month</t>
        </is>
      </c>
      <c r="B15" s="7" t="n">
        <v>0.4935</v>
      </c>
      <c r="C15" s="7" t="n">
        <v>0.241</v>
      </c>
      <c r="D15" s="7" t="n">
        <v>0.2525</v>
      </c>
      <c r="E15" s="2" t="inlineStr"/>
      <c r="F15" s="2" t="inlineStr"/>
      <c r="G15" s="2" t="inlineStr">
        <is>
          <t>About a quarter, per person, per month.</t>
        </is>
      </c>
    </row>
    <row r="16" ht="16" customHeight="1">
      <c r="A16" s="2" t="inlineStr">
        <is>
          <t>Profit on a $5 one-card sale</t>
        </is>
      </c>
      <c r="B16" s="7" t="n">
        <v>4.1513</v>
      </c>
      <c r="C16" s="7" t="n">
        <v>4.2018</v>
      </c>
      <c r="D16" s="7" t="n">
        <v>0.05050000000000043</v>
      </c>
      <c r="E16" s="2" t="inlineStr"/>
      <c r="F16" s="2" t="inlineStr"/>
      <c r="G16" s="2" t="inlineStr">
        <is>
          <t>Profit goes from 98% of our cut to 99%.</t>
        </is>
      </c>
    </row>
    <row r="17" ht="16" customHeight="1"/>
    <row r="18" ht="16" customHeight="1">
      <c r="A18" s="8" t="inlineStr">
        <is>
          <t>Every plan's worst-case monthly cost</t>
        </is>
      </c>
      <c r="B18" s="8" t="inlineStr">
        <is>
          <t>On Claude</t>
        </is>
      </c>
      <c r="C18" s="8" t="inlineStr">
        <is>
          <t>If Grok did it</t>
        </is>
      </c>
      <c r="D18" s="8" t="inlineStr">
        <is>
          <t>We would save</t>
        </is>
      </c>
      <c r="E18" s="8" t="inlineStr"/>
      <c r="F18" s="8" t="inlineStr"/>
      <c r="G18" s="8" t="inlineStr">
        <is>
          <t>Every plan includes a 1-card every day, so every plan drops by the same amount.</t>
        </is>
      </c>
    </row>
    <row r="19" ht="16" customHeight="1">
      <c r="A19" s="2" t="inlineStr">
        <is>
          <t>Seed</t>
        </is>
      </c>
      <c r="B19" s="7" t="n">
        <v>4.482824999999999</v>
      </c>
      <c r="C19" s="7" t="n">
        <v>2.947625</v>
      </c>
      <c r="D19" s="7" t="n">
        <v>1.535199999999999</v>
      </c>
      <c r="E19" s="2" t="inlineStr"/>
      <c r="F19" s="2" t="inlineStr"/>
      <c r="G19" s="2" t="inlineStr"/>
    </row>
    <row r="20" ht="16" customHeight="1">
      <c r="A20" s="2" t="inlineStr">
        <is>
          <t>Root</t>
        </is>
      </c>
      <c r="B20" s="7" t="n">
        <v>4.992424999999999</v>
      </c>
      <c r="C20" s="7" t="n">
        <v>3.457225</v>
      </c>
      <c r="D20" s="7" t="n">
        <v>1.535199999999999</v>
      </c>
      <c r="E20" s="2" t="inlineStr"/>
      <c r="F20" s="2" t="inlineStr"/>
      <c r="G20" s="2" t="inlineStr"/>
    </row>
    <row r="21" ht="16" customHeight="1">
      <c r="A21" s="2" t="inlineStr">
        <is>
          <t>Bloom</t>
        </is>
      </c>
      <c r="B21" s="7" t="n">
        <v>5.756321</v>
      </c>
      <c r="C21" s="7" t="n">
        <v>4.221121</v>
      </c>
      <c r="D21" s="7" t="n">
        <v>1.5352</v>
      </c>
      <c r="E21" s="2" t="inlineStr"/>
      <c r="F21" s="2" t="inlineStr"/>
      <c r="G21" s="2" t="inlineStr"/>
    </row>
    <row r="22" ht="16" customHeight="1">
      <c r="A22" s="2" t="inlineStr">
        <is>
          <t>Harvest</t>
        </is>
      </c>
      <c r="B22" s="7" t="n">
        <v>6.047962666666666</v>
      </c>
      <c r="C22" s="7" t="n">
        <v>4.512762666666667</v>
      </c>
      <c r="D22" s="7" t="n">
        <v>1.535199999999999</v>
      </c>
      <c r="E22" s="2" t="inlineStr"/>
      <c r="F22" s="2" t="inlineStr"/>
      <c r="G22" s="2" t="inlineStr"/>
    </row>
    <row r="23" ht="16" customHeight="1"/>
    <row r="24" ht="16" customHeight="1">
      <c r="A24" s="14" t="inlineStr">
        <is>
          <t>THE CALL IS ABOUT VOICE, NOT MONEY</t>
        </is>
      </c>
    </row>
    <row r="25" ht="16" customHeight="1">
      <c r="A25" s="2" t="inlineStr">
        <is>
          <t>About $1.54 a month per plan is real, but it is small. Read the side-by-side readings and decide if Grok sounds like Tarotdoxa. If yes, we switch. If no, we turn the setting off so the config stops pretending.</t>
        </is>
      </c>
    </row>
    <row r="26" ht="16" customHeight="1">
      <c r="A26" s="2" t="inlineStr">
        <is>
          <t>Right now Claude writes every real 1-card, no matter what the setting says. There is a plumbing bug behind the switch that gets fixed only if the answer is yes.</t>
        </is>
      </c>
    </row>
    <row r="27" ht="16" customHeight="1"/>
    <row r="28" ht="16" customHeight="1">
      <c r="A28" s="2" t="inlineStr">
        <is>
          <t>Everything bigger than a 1-card stays on Claude either way. That was decided on 7/30 and has not changed.</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FF1F7A7A"/>
    <outlinePr summaryBelow="1" summaryRight="1"/>
    <pageSetUpPr/>
  </sheetPr>
  <dimension ref="A1:F46"/>
  <sheetViews>
    <sheetView workbookViewId="0">
      <selection activeCell="A1" sqref="A1"/>
    </sheetView>
  </sheetViews>
  <sheetFormatPr baseColWidth="8" defaultRowHeight="15"/>
  <cols>
    <col width="36" customWidth="1" min="1" max="1"/>
    <col width="20" customWidth="1" min="2" max="2"/>
    <col width="16" customWidth="1" min="3" max="3"/>
    <col width="15" customWidth="1" min="4" max="4"/>
    <col width="16" customWidth="1" min="5" max="5"/>
    <col width="68" customWidth="1" min="6" max="6"/>
  </cols>
  <sheetData>
    <row r="1" ht="17" customHeight="1">
      <c r="A1" s="1" t="inlineStr">
        <is>
          <t>PLAY WITH IT - TYPE YOUR OWN NUMBERS</t>
        </is>
      </c>
    </row>
    <row r="2" ht="16" customHeight="1">
      <c r="A2" s="2" t="inlineStr">
        <is>
          <t>Every yellow cell is yours to change. Everything else does its own maths the second you press enter.</t>
        </is>
      </c>
    </row>
    <row r="3" ht="16" customHeight="1">
      <c r="A3" s="2" t="inlineStr">
        <is>
          <t>It opens loaded with a normal subscriber. Change the counts, change the plan, and watch the profit at the bottom move.</t>
        </is>
      </c>
    </row>
    <row r="4" ht="16" customHeight="1"/>
    <row r="5" ht="16" customHeight="1">
      <c r="A5" s="28" t="inlineStr">
        <is>
          <t>SWITCH 1: WHO WRITES THE 1-CARD TAROT?</t>
        </is>
      </c>
      <c r="B5" s="28" t="inlineStr"/>
      <c r="C5" s="28" t="inlineStr"/>
      <c r="D5" s="28" t="inlineStr"/>
      <c r="E5" s="28" t="inlineStr"/>
      <c r="F5" s="28" t="inlineStr"/>
    </row>
    <row r="6" ht="16" customHeight="1">
      <c r="A6" s="2" t="inlineStr">
        <is>
          <t>Pick a bot</t>
        </is>
      </c>
      <c r="B6" s="28" t="inlineStr">
        <is>
          <t>Claude</t>
        </is>
      </c>
      <c r="C6" s="2" t="inlineStr"/>
      <c r="D6" s="2" t="inlineStr"/>
      <c r="E6" s="2" t="inlineStr"/>
      <c r="F6" s="2" t="inlineStr">
        <is>
          <t>Click the cell to the left. Pick Claude or Grok. The 1-card row below follows your pick.</t>
        </is>
      </c>
    </row>
    <row r="7" ht="16" customHeight="1">
      <c r="A7" s="2" t="inlineStr">
        <is>
          <t>1-card cost per reading</t>
        </is>
      </c>
      <c r="B7" s="20">
        <f>IF($B$6="Grok",0.0482,0.0987)</f>
        <v/>
      </c>
      <c r="C7" s="2" t="inlineStr"/>
      <c r="D7" s="2" t="inlineStr"/>
      <c r="E7" s="2" t="inlineStr"/>
      <c r="F7" s="2" t="inlineStr">
        <is>
          <t>Claude $0.0987. Grok $0.0482. Both measured on the real prompt.</t>
        </is>
      </c>
    </row>
    <row r="8" ht="16" customHeight="1"/>
    <row r="9" ht="16" customHeight="1">
      <c r="A9" s="28" t="inlineStr">
        <is>
          <t>STEP 1: HOW OFTEN DOES ONE PERSON DO EACH THING, IN A MONTH?</t>
        </is>
      </c>
      <c r="B9" s="28" t="inlineStr"/>
      <c r="C9" s="28" t="inlineStr"/>
      <c r="D9" s="28" t="inlineStr"/>
      <c r="E9" s="28" t="inlineStr"/>
      <c r="F9" s="28" t="inlineStr"/>
    </row>
    <row r="10" ht="16" customHeight="1">
      <c r="A10" s="8" t="inlineStr">
        <is>
          <t>Job</t>
        </is>
      </c>
      <c r="B10" s="8" t="inlineStr">
        <is>
          <t>Bot</t>
        </is>
      </c>
      <c r="C10" s="8" t="inlineStr">
        <is>
          <t>Cost each time</t>
        </is>
      </c>
      <c r="D10" s="8" t="inlineStr">
        <is>
          <t>Times a month</t>
        </is>
      </c>
      <c r="E10" s="8" t="inlineStr">
        <is>
          <t>Cost a month</t>
        </is>
      </c>
      <c r="F10" s="8" t="inlineStr">
        <is>
          <t>Note</t>
        </is>
      </c>
    </row>
    <row r="11" ht="16" customHeight="1">
      <c r="A11" s="10" t="inlineStr">
        <is>
          <t>Daily horoscope</t>
        </is>
      </c>
      <c r="B11" s="10" t="inlineStr">
        <is>
          <t>Grok</t>
        </is>
      </c>
      <c r="C11" s="18" t="n">
        <v>0.0107</v>
      </c>
      <c r="D11" s="29" t="n">
        <v>20</v>
      </c>
      <c r="E11" s="12">
        <f>C11*D11</f>
        <v/>
      </c>
      <c r="F11" s="10" t="inlineStr">
        <is>
          <t>Once per day they open the app.</t>
        </is>
      </c>
    </row>
    <row r="12" ht="16" customHeight="1">
      <c r="A12" s="9" t="inlineStr">
        <is>
          <t>Daily push notification line</t>
        </is>
      </c>
      <c r="B12" s="9" t="inlineStr">
        <is>
          <t>Claude</t>
        </is>
      </c>
      <c r="C12" s="16" t="n">
        <v>0.0058</v>
      </c>
      <c r="D12" s="29" t="n">
        <v>20</v>
      </c>
      <c r="E12" s="13">
        <f>C12*D12</f>
        <v/>
      </c>
      <c r="F12" s="9" t="inlineStr">
        <is>
          <t>Stays on Claude on purpose.</t>
        </is>
      </c>
    </row>
    <row r="13" ht="16" customHeight="1">
      <c r="A13" s="21" t="inlineStr">
        <is>
          <t>1-card reading</t>
        </is>
      </c>
      <c r="B13" s="21">
        <f>$B$6</f>
        <v/>
      </c>
      <c r="C13" s="22">
        <f>$B$7</f>
        <v/>
      </c>
      <c r="D13" s="29" t="n">
        <v>5</v>
      </c>
      <c r="E13" s="30">
        <f>C13*D13</f>
        <v/>
      </c>
      <c r="F13" s="21" t="inlineStr">
        <is>
          <t>This row follows Switch 1 above.</t>
        </is>
      </c>
    </row>
    <row r="14" ht="16" customHeight="1">
      <c r="A14" s="9" t="inlineStr">
        <is>
          <t>3-card reading</t>
        </is>
      </c>
      <c r="B14" s="9" t="inlineStr">
        <is>
          <t>Claude</t>
        </is>
      </c>
      <c r="C14" s="16" t="n">
        <v>0.2177</v>
      </c>
      <c r="D14" s="29" t="n">
        <v>2</v>
      </c>
      <c r="E14" s="13">
        <f>C14*D14</f>
        <v/>
      </c>
      <c r="F14" s="9" t="inlineStr"/>
    </row>
    <row r="15" ht="16" customHeight="1">
      <c r="A15" s="9" t="inlineStr">
        <is>
          <t>5-card situational</t>
        </is>
      </c>
      <c r="B15" s="9" t="inlineStr">
        <is>
          <t>Claude</t>
        </is>
      </c>
      <c r="C15" s="16" t="n">
        <v>0.294</v>
      </c>
      <c r="D15" s="29" t="n">
        <v>1</v>
      </c>
      <c r="E15" s="13">
        <f>C15*D15</f>
        <v/>
      </c>
      <c r="F15" s="9" t="inlineStr"/>
    </row>
    <row r="16" ht="16" customHeight="1">
      <c r="A16" s="9" t="inlineStr">
        <is>
          <t>6-card reading</t>
        </is>
      </c>
      <c r="B16" s="9" t="inlineStr">
        <is>
          <t>Claude</t>
        </is>
      </c>
      <c r="C16" s="16" t="n">
        <v>0.2156</v>
      </c>
      <c r="D16" s="29" t="n">
        <v>0.5</v>
      </c>
      <c r="E16" s="13">
        <f>C16*D16</f>
        <v/>
      </c>
      <c r="F16" s="9" t="inlineStr"/>
    </row>
    <row r="17" ht="16" customHeight="1">
      <c r="A17" s="9" t="inlineStr">
        <is>
          <t>7-card couples tarot</t>
        </is>
      </c>
      <c r="B17" s="9" t="inlineStr">
        <is>
          <t>Claude</t>
        </is>
      </c>
      <c r="C17" s="16" t="n">
        <v>0.2308</v>
      </c>
      <c r="D17" s="29" t="n">
        <v>0</v>
      </c>
      <c r="E17" s="13">
        <f>C17*D17</f>
        <v/>
      </c>
      <c r="F17" s="9" t="inlineStr"/>
    </row>
    <row r="18" ht="16" customHeight="1">
      <c r="A18" s="9" t="inlineStr">
        <is>
          <t>10-card Celtic Cross</t>
        </is>
      </c>
      <c r="B18" s="9" t="inlineStr">
        <is>
          <t>Claude</t>
        </is>
      </c>
      <c r="C18" s="16" t="n">
        <v>0.3196</v>
      </c>
      <c r="D18" s="29" t="n">
        <v>0.3</v>
      </c>
      <c r="E18" s="13">
        <f>C18*D18</f>
        <v/>
      </c>
      <c r="F18" s="9" t="inlineStr"/>
    </row>
    <row r="19" ht="16" customHeight="1">
      <c r="A19" s="10" t="inlineStr">
        <is>
          <t>Weekly horoscope</t>
        </is>
      </c>
      <c r="B19" s="10" t="inlineStr">
        <is>
          <t>Grok</t>
        </is>
      </c>
      <c r="C19" s="18" t="n">
        <v>0.008800000000000001</v>
      </c>
      <c r="D19" s="29" t="n">
        <v>2</v>
      </c>
      <c r="E19" s="12">
        <f>C19*D19</f>
        <v/>
      </c>
      <c r="F19" s="10" t="inlineStr"/>
    </row>
    <row r="20" ht="16" customHeight="1">
      <c r="A20" s="10" t="inlineStr">
        <is>
          <t>Couples weekly horoscope</t>
        </is>
      </c>
      <c r="B20" s="10" t="inlineStr">
        <is>
          <t>Grok</t>
        </is>
      </c>
      <c r="C20" s="18" t="n">
        <v>0.0312</v>
      </c>
      <c r="D20" s="29" t="n">
        <v>0</v>
      </c>
      <c r="E20" s="12">
        <f>C20*D20</f>
        <v/>
      </c>
      <c r="F20" s="10" t="inlineStr">
        <is>
          <t>Bloom and up, couples only.</t>
        </is>
      </c>
    </row>
    <row r="21" ht="16" customHeight="1">
      <c r="A21" s="9" t="inlineStr">
        <is>
          <t>Follow-up chat about a reading</t>
        </is>
      </c>
      <c r="B21" s="9" t="inlineStr">
        <is>
          <t>Claude</t>
        </is>
      </c>
      <c r="C21" s="16" t="n">
        <v>0.0824</v>
      </c>
      <c r="D21" s="29" t="n">
        <v>3</v>
      </c>
      <c r="E21" s="13">
        <f>C21*D21</f>
        <v/>
      </c>
      <c r="F21" s="9" t="inlineStr">
        <is>
          <t>First reply on each reading is free to them.</t>
        </is>
      </c>
    </row>
    <row r="22" ht="16" customHeight="1">
      <c r="A22" s="11" t="inlineStr">
        <is>
          <t>Audio, short reading</t>
        </is>
      </c>
      <c r="B22" s="11" t="inlineStr">
        <is>
          <t>Voice</t>
        </is>
      </c>
      <c r="C22" s="24" t="n">
        <v>0.0189</v>
      </c>
      <c r="D22" s="29" t="n">
        <v>1</v>
      </c>
      <c r="E22" s="26">
        <f>C22*D22</f>
        <v/>
      </c>
      <c r="F22" s="11" t="inlineStr">
        <is>
          <t>Replays are free.</t>
        </is>
      </c>
    </row>
    <row r="23" ht="16" customHeight="1">
      <c r="A23" s="11" t="inlineStr">
        <is>
          <t>Audio, long reading</t>
        </is>
      </c>
      <c r="B23" s="11" t="inlineStr">
        <is>
          <t>Voice</t>
        </is>
      </c>
      <c r="C23" s="24" t="n">
        <v>0.1143</v>
      </c>
      <c r="D23" s="29" t="n">
        <v>1</v>
      </c>
      <c r="E23" s="26">
        <f>C23*D23</f>
        <v/>
      </c>
      <c r="F23" s="11" t="inlineStr">
        <is>
          <t>Replays are free.</t>
        </is>
      </c>
    </row>
    <row r="24" ht="16" customHeight="1">
      <c r="A24" s="9" t="inlineStr">
        <is>
          <t>Solo star reading</t>
        </is>
      </c>
      <c r="B24" s="9" t="inlineStr">
        <is>
          <t>Claude</t>
        </is>
      </c>
      <c r="C24" s="16" t="n">
        <v>0.268</v>
      </c>
      <c r="D24" s="29" t="n">
        <v>0.1</v>
      </c>
      <c r="E24" s="13">
        <f>C24*D24</f>
        <v/>
      </c>
      <c r="F24" s="9" t="inlineStr">
        <is>
          <t>First one free, forever.</t>
        </is>
      </c>
    </row>
    <row r="25" ht="16" customHeight="1">
      <c r="A25" s="9" t="inlineStr">
        <is>
          <t>Couples star chart</t>
        </is>
      </c>
      <c r="B25" s="9" t="inlineStr">
        <is>
          <t>Claude</t>
        </is>
      </c>
      <c r="C25" s="16" t="n">
        <v>0.1621</v>
      </c>
      <c r="D25" s="29" t="n">
        <v>0</v>
      </c>
      <c r="E25" s="13">
        <f>C25*D25</f>
        <v/>
      </c>
      <c r="F25" s="9" t="inlineStr">
        <is>
          <t>Once per couple.</t>
        </is>
      </c>
    </row>
    <row r="26" ht="16" customHeight="1">
      <c r="A26" s="14" t="inlineStr">
        <is>
          <t>WHAT THIS PERSON COSTS US IN BOTS, PER MONTH</t>
        </is>
      </c>
      <c r="B26" s="14" t="inlineStr"/>
      <c r="C26" s="14" t="inlineStr"/>
      <c r="D26" s="14" t="inlineStr"/>
      <c r="E26" s="15">
        <f>SUM(E11:E25)</f>
        <v/>
      </c>
      <c r="F26" s="14" t="inlineStr">
        <is>
          <t>This is the number that fights the plan price below.</t>
        </is>
      </c>
    </row>
    <row r="27" ht="16" customHeight="1"/>
    <row r="28" ht="16" customHeight="1">
      <c r="A28" s="28" t="inlineStr">
        <is>
          <t>STEP 2: PICK A PLAN AND SEE THE PROFIT</t>
        </is>
      </c>
      <c r="B28" s="28" t="inlineStr"/>
      <c r="C28" s="28" t="inlineStr"/>
      <c r="D28" s="28" t="inlineStr"/>
      <c r="E28" s="28" t="inlineStr"/>
      <c r="F28" s="28" t="inlineStr"/>
    </row>
    <row r="29" ht="16" customHeight="1">
      <c r="A29" s="8" t="inlineStr">
        <is>
          <t>Plan</t>
        </is>
      </c>
      <c r="B29" s="8" t="inlineStr">
        <is>
          <t>Price a month</t>
        </is>
      </c>
      <c r="C29" s="8" t="inlineStr">
        <is>
          <t>We keep, Apple or Android</t>
        </is>
      </c>
      <c r="D29" s="8" t="inlineStr">
        <is>
          <t>We keep, website</t>
        </is>
      </c>
      <c r="E29" s="8" t="inlineStr"/>
      <c r="F29" s="8" t="inlineStr">
        <is>
          <t>Apple and Google take 15 percent. The website takes 2.9 percent plus 30 cents.</t>
        </is>
      </c>
    </row>
    <row r="30" ht="16" customHeight="1">
      <c r="A30" s="2" t="inlineStr">
        <is>
          <t>Seed</t>
        </is>
      </c>
      <c r="B30" s="7" t="n">
        <v>10</v>
      </c>
      <c r="C30" s="7" t="n">
        <v>8.5</v>
      </c>
      <c r="D30" s="7" t="n">
        <v>9.409999999999998</v>
      </c>
      <c r="E30" s="2" t="inlineStr"/>
      <c r="F30" s="2" t="inlineStr"/>
    </row>
    <row r="31" ht="16" customHeight="1">
      <c r="A31" s="2" t="inlineStr">
        <is>
          <t>Root</t>
        </is>
      </c>
      <c r="B31" s="7" t="n">
        <v>14</v>
      </c>
      <c r="C31" s="7" t="n">
        <v>11.9</v>
      </c>
      <c r="D31" s="7" t="n">
        <v>13.294</v>
      </c>
      <c r="E31" s="2" t="inlineStr"/>
      <c r="F31" s="2" t="inlineStr"/>
    </row>
    <row r="32" ht="16" customHeight="1">
      <c r="A32" s="2" t="inlineStr">
        <is>
          <t>Bloom</t>
        </is>
      </c>
      <c r="B32" s="7" t="n">
        <v>17</v>
      </c>
      <c r="C32" s="7" t="n">
        <v>14.45</v>
      </c>
      <c r="D32" s="7" t="n">
        <v>16.207</v>
      </c>
      <c r="E32" s="2" t="inlineStr"/>
      <c r="F32" s="2" t="inlineStr"/>
    </row>
    <row r="33" ht="16" customHeight="1">
      <c r="A33" s="2" t="inlineStr">
        <is>
          <t>Harvest</t>
        </is>
      </c>
      <c r="B33" s="7" t="n">
        <v>33</v>
      </c>
      <c r="C33" s="7" t="n">
        <v>28.05</v>
      </c>
      <c r="D33" s="7" t="n">
        <v>31.743</v>
      </c>
      <c r="E33" s="2" t="inlineStr"/>
      <c r="F33" s="2" t="inlineStr"/>
    </row>
    <row r="34" ht="16" customHeight="1"/>
    <row r="35" ht="16" customHeight="1">
      <c r="A35" s="2" t="inlineStr">
        <is>
          <t>Plan you picked</t>
        </is>
      </c>
      <c r="B35" s="28" t="inlineStr">
        <is>
          <t>Bloom</t>
        </is>
      </c>
      <c r="C35" s="2" t="inlineStr"/>
      <c r="D35" s="2" t="inlineStr"/>
      <c r="E35" s="2" t="inlineStr"/>
      <c r="F35" s="2" t="inlineStr">
        <is>
          <t>Click the cell to the left and pick a plan.</t>
        </is>
      </c>
    </row>
    <row r="36" ht="16" customHeight="1">
      <c r="A36" s="2" t="inlineStr">
        <is>
          <t>We keep, after the store's cut</t>
        </is>
      </c>
      <c r="B36" s="7">
        <f>VLOOKUP($B$35,$A$30:$D$33,3,FALSE)</f>
        <v/>
      </c>
      <c r="C36" s="2" t="inlineStr"/>
      <c r="D36" s="2" t="inlineStr"/>
      <c r="E36" s="2" t="inlineStr"/>
      <c r="F36" s="2" t="inlineStr">
        <is>
          <t>Using the store rate, which is the smaller of the two. The website pays us more.</t>
        </is>
      </c>
    </row>
    <row r="37" ht="16" customHeight="1">
      <c r="A37" s="2" t="inlineStr">
        <is>
          <t>What the bots cost us</t>
        </is>
      </c>
      <c r="B37" s="7">
        <f>E26</f>
        <v/>
      </c>
      <c r="C37" s="2" t="inlineStr"/>
      <c r="D37" s="2" t="inlineStr"/>
      <c r="E37" s="2" t="inlineStr"/>
      <c r="F37" s="2" t="inlineStr">
        <is>
          <t>Straight from your numbers in step 1.</t>
        </is>
      </c>
    </row>
    <row r="38" ht="16" customHeight="1">
      <c r="A38" s="14" t="inlineStr">
        <is>
          <t>PROFIT, PER PERSON, PER MONTH</t>
        </is>
      </c>
      <c r="B38" s="31">
        <f>B36-B37</f>
        <v/>
      </c>
      <c r="C38" s="14" t="inlineStr"/>
      <c r="D38" s="14" t="inlineStr"/>
      <c r="E38" s="14" t="inlineStr"/>
      <c r="F38" s="14" t="inlineStr">
        <is>
          <t>Green is good. Red means this person costs more than they pay.</t>
        </is>
      </c>
    </row>
    <row r="39" ht="16" customHeight="1"/>
    <row r="40" ht="16" customHeight="1">
      <c r="A40" s="8" t="inlineStr">
        <is>
          <t>THINGS WORTH TRYING</t>
        </is>
      </c>
      <c r="B40" s="8" t="inlineStr"/>
      <c r="C40" s="8" t="inlineStr"/>
      <c r="D40" s="8" t="inlineStr"/>
      <c r="E40" s="8" t="inlineStr"/>
      <c r="F40" s="8" t="inlineStr"/>
    </row>
    <row r="41" ht="16" customHeight="1">
      <c r="A41" s="2" t="inlineStr">
        <is>
          <t>Set every count to zero except the daily horoscope. A quiet subscriber costs about $0.21 a month.</t>
        </is>
      </c>
    </row>
    <row r="42" ht="16" customHeight="1">
      <c r="A42" s="2" t="inlineStr">
        <is>
          <t>Now type the Heavy numbers from the COST PER PERSON tab into the Times a month column. The total lands near $10.67. Pick Seed and the profit turns red.</t>
        </is>
      </c>
    </row>
    <row r="43" ht="16" customHeight="1">
      <c r="A43" s="2" t="inlineStr">
        <is>
          <t>Leave those heavy numbers in and flip Switch 1 to Grok. The total drops to about $9.41. That is what the 1-card decision is worth at the very top end.</t>
        </is>
      </c>
    </row>
    <row r="44" ht="16" customHeight="1">
      <c r="A44" s="2" t="inlineStr">
        <is>
          <t>Still on the heavy numbers, pick Harvest. Profit is about $17.38. Even our busiest user is very profitable on the top plan.</t>
        </is>
      </c>
    </row>
    <row r="45" ht="16" customHeight="1"/>
    <row r="46" ht="16" customHeight="1">
      <c r="A46" s="2" t="inlineStr">
        <is>
          <t>If a number here ever looks wrong, the WHERE NUMBERS CAME FROM tab says exactly where each one was measured.</t>
        </is>
      </c>
    </row>
  </sheetData>
  <conditionalFormatting sqref="B38">
    <cfRule type="cellIs" priority="1" operator="greaterThan" dxfId="0">
      <formula>0</formula>
    </cfRule>
    <cfRule type="cellIs" priority="2" operator="lessThan" dxfId="1">
      <formula>0</formula>
    </cfRule>
  </conditionalFormatting>
  <dataValidations count="2">
    <dataValidation sqref="B6" showDropDown="0" showInputMessage="0" showErrorMessage="0" allowBlank="0" error="Pick Claude or Grok." type="list">
      <formula1>"Claude,Grok"</formula1>
    </dataValidation>
    <dataValidation sqref="B35" showDropDown="0" showInputMessage="0" showErrorMessage="0" allowBlank="0" error="Pick Seed, Root, Bloom or Harvest." type="list">
      <formula1>"Seed,Root,Bloom,Harvest"</formula1>
    </dataValidation>
  </dataValidations>
  <pageMargins left="0.75" right="0.75" top="1" bottom="1" header="0.5" footer="0.5"/>
</worksheet>
</file>

<file path=xl/worksheets/sheet8.xml><?xml version="1.0" encoding="utf-8"?>
<worksheet xmlns="http://schemas.openxmlformats.org/spreadsheetml/2006/main">
  <sheetPr>
    <tabColor rgb="FFB9A67A"/>
    <outlinePr summaryBelow="1" summaryRight="1"/>
    <pageSetUpPr/>
  </sheetPr>
  <dimension ref="A1:J38"/>
  <sheetViews>
    <sheetView workbookViewId="0">
      <pane ySplit="5" topLeftCell="A6" activePane="bottomLeft" state="frozen"/>
      <selection pane="bottomLeft" activeCell="A1" sqref="A1"/>
    </sheetView>
  </sheetViews>
  <sheetFormatPr baseColWidth="8" defaultRowHeight="15"/>
  <cols>
    <col width="38" customWidth="1" min="1" max="1"/>
    <col width="13" customWidth="1" min="2" max="2"/>
    <col width="16" customWidth="1" min="3" max="3"/>
    <col width="15" customWidth="1" min="4" max="4"/>
    <col width="16" customWidth="1" min="5" max="5"/>
    <col width="10" customWidth="1" min="6" max="6"/>
    <col width="11" customWidth="1" min="7" max="7"/>
    <col width="9" customWidth="1" min="8" max="8"/>
    <col width="14" customWidth="1" min="9" max="9"/>
    <col width="68" customWidth="1" min="10" max="10"/>
  </cols>
  <sheetData>
    <row r="1" ht="17" customHeight="1">
      <c r="A1" s="1" t="inlineStr">
        <is>
          <t>PRICE + PROFIT - EVERY SINGLE THING WE SELL</t>
        </is>
      </c>
    </row>
    <row r="2" ht="16" customHeight="1">
      <c r="A2" s="2" t="inlineStr">
        <is>
          <t>Each sale goes through exactly ONE shop, and that shop takes its cut off the full price the customer pays. Apple takes 15 percent. Google takes 15 percent. Our own website takes 2.9 percent plus 30 cents.</t>
        </is>
      </c>
    </row>
    <row r="3" ht="16" customHeight="1">
      <c r="A3" s="2" t="inlineStr">
        <is>
          <t>Store money goes straight to the bank. It never passes through the website. The profit column below uses the STORE cut, because that is the smaller one. Selling on our own website makes more.</t>
        </is>
      </c>
    </row>
    <row r="4" ht="16" customHeight="1"/>
    <row r="5" ht="16" customHeight="1">
      <c r="A5" s="8" t="inlineStr">
        <is>
          <t>What we sell</t>
        </is>
      </c>
      <c r="B5" s="8" t="inlineStr">
        <is>
          <t>Price</t>
        </is>
      </c>
      <c r="C5" s="8" t="inlineStr">
        <is>
          <t>We keep, website</t>
        </is>
      </c>
      <c r="D5" s="8" t="inlineStr">
        <is>
          <t>We keep, Apple</t>
        </is>
      </c>
      <c r="E5" s="8" t="inlineStr">
        <is>
          <t>We keep, Android</t>
        </is>
      </c>
      <c r="F5" s="8" t="inlineStr">
        <is>
          <t>Bot cost</t>
        </is>
      </c>
      <c r="G5" s="8" t="inlineStr">
        <is>
          <t>Profit</t>
        </is>
      </c>
      <c r="H5" s="8" t="inlineStr">
        <is>
          <t>Profit %</t>
        </is>
      </c>
      <c r="I5" s="8" t="inlineStr">
        <is>
          <t>Bot</t>
        </is>
      </c>
      <c r="J5" s="8" t="inlineStr">
        <is>
          <t>Note</t>
        </is>
      </c>
    </row>
    <row r="6" ht="16" customHeight="1">
      <c r="A6" s="8" t="inlineStr">
        <is>
          <t>MONTHLY PLANS (yearly plans are on THE PLANS tab)</t>
        </is>
      </c>
      <c r="B6" s="8" t="inlineStr"/>
      <c r="C6" s="8" t="inlineStr"/>
      <c r="D6" s="8" t="inlineStr"/>
      <c r="E6" s="8" t="inlineStr"/>
      <c r="F6" s="8" t="inlineStr"/>
      <c r="G6" s="8" t="inlineStr"/>
      <c r="H6" s="8" t="inlineStr"/>
      <c r="I6" s="8" t="inlineStr"/>
      <c r="J6" s="8" t="inlineStr"/>
    </row>
    <row r="7" ht="16" customHeight="1">
      <c r="A7" s="2" t="inlineStr">
        <is>
          <t>Seed plan</t>
        </is>
      </c>
      <c r="B7" s="7" t="n">
        <v>10</v>
      </c>
      <c r="C7" s="7" t="n">
        <v>9.409999999999998</v>
      </c>
      <c r="D7" s="7" t="n">
        <v>8.5</v>
      </c>
      <c r="E7" s="7" t="n">
        <v>8.5</v>
      </c>
      <c r="F7" s="7" t="n">
        <v>4.482824999999999</v>
      </c>
      <c r="G7" s="7" t="n">
        <v>4.017175000000001</v>
      </c>
      <c r="H7" s="32" t="n">
        <v>0.4726088235294119</v>
      </c>
      <c r="I7" s="2" t="inlineStr">
        <is>
          <t>Claude + Grok</t>
        </is>
      </c>
      <c r="J7" s="2" t="inlineStr">
        <is>
          <t>Bot cost here is the WORST case: every allowance used every month. A normal subscriber costs $2.18.</t>
        </is>
      </c>
    </row>
    <row r="8" ht="16" customHeight="1">
      <c r="A8" s="2" t="inlineStr">
        <is>
          <t>Root plan</t>
        </is>
      </c>
      <c r="B8" s="7" t="n">
        <v>14</v>
      </c>
      <c r="C8" s="7" t="n">
        <v>13.294</v>
      </c>
      <c r="D8" s="7" t="n">
        <v>11.9</v>
      </c>
      <c r="E8" s="7" t="n">
        <v>11.9</v>
      </c>
      <c r="F8" s="7" t="n">
        <v>4.992424999999999</v>
      </c>
      <c r="G8" s="7" t="n">
        <v>6.907575000000001</v>
      </c>
      <c r="H8" s="32" t="n">
        <v>0.580468487394958</v>
      </c>
      <c r="I8" s="2" t="inlineStr">
        <is>
          <t>Claude + Grok</t>
        </is>
      </c>
      <c r="J8" s="2" t="inlineStr">
        <is>
          <t>Bot cost here is the WORST case: every allowance used every month. A normal subscriber costs $2.18.</t>
        </is>
      </c>
    </row>
    <row r="9" ht="16" customHeight="1">
      <c r="A9" s="2" t="inlineStr">
        <is>
          <t>Bloom plan</t>
        </is>
      </c>
      <c r="B9" s="7" t="n">
        <v>17</v>
      </c>
      <c r="C9" s="7" t="n">
        <v>16.207</v>
      </c>
      <c r="D9" s="7" t="n">
        <v>14.45</v>
      </c>
      <c r="E9" s="7" t="n">
        <v>14.45</v>
      </c>
      <c r="F9" s="7" t="n">
        <v>5.756321</v>
      </c>
      <c r="G9" s="7" t="n">
        <v>8.693678999999999</v>
      </c>
      <c r="H9" s="32" t="n">
        <v>0.6016386851211073</v>
      </c>
      <c r="I9" s="2" t="inlineStr">
        <is>
          <t>Claude + Grok</t>
        </is>
      </c>
      <c r="J9" s="2" t="inlineStr">
        <is>
          <t>Bot cost here is the WORST case: every allowance used every month. A normal subscriber costs $2.18.</t>
        </is>
      </c>
    </row>
    <row r="10" ht="16" customHeight="1">
      <c r="A10" s="2" t="inlineStr">
        <is>
          <t>Harvest plan</t>
        </is>
      </c>
      <c r="B10" s="7" t="n">
        <v>33</v>
      </c>
      <c r="C10" s="7" t="n">
        <v>31.743</v>
      </c>
      <c r="D10" s="7" t="n">
        <v>28.05</v>
      </c>
      <c r="E10" s="7" t="n">
        <v>28.05</v>
      </c>
      <c r="F10" s="7" t="n">
        <v>6.047962666666666</v>
      </c>
      <c r="G10" s="7" t="n">
        <v>22.00203733333333</v>
      </c>
      <c r="H10" s="32" t="n">
        <v>0.784386357694593</v>
      </c>
      <c r="I10" s="2" t="inlineStr">
        <is>
          <t>Claude + Grok</t>
        </is>
      </c>
      <c r="J10" s="2" t="inlineStr">
        <is>
          <t>Bot cost here is the WORST case: every allowance used every month. A normal subscriber costs $2.18.</t>
        </is>
      </c>
    </row>
    <row r="11" ht="16" customHeight="1">
      <c r="A11" s="8" t="inlineStr">
        <is>
          <t>ONE-OFF BUYS, NO SUBSCRIPTION (new prices, live since 8/28)</t>
        </is>
      </c>
      <c r="B11" s="8" t="inlineStr"/>
      <c r="C11" s="8" t="inlineStr"/>
      <c r="D11" s="8" t="inlineStr"/>
      <c r="E11" s="8" t="inlineStr"/>
      <c r="F11" s="8" t="inlineStr"/>
      <c r="G11" s="8" t="inlineStr"/>
      <c r="H11" s="8" t="inlineStr"/>
      <c r="I11" s="8" t="inlineStr"/>
      <c r="J11" s="8" t="inlineStr"/>
    </row>
    <row r="12" ht="16" customHeight="1">
      <c r="A12" s="9" t="inlineStr">
        <is>
          <t>1-Card Reading</t>
        </is>
      </c>
      <c r="B12" s="13" t="n">
        <v>5</v>
      </c>
      <c r="C12" s="13" t="n">
        <v>4.555</v>
      </c>
      <c r="D12" s="13" t="n">
        <v>4.25</v>
      </c>
      <c r="E12" s="13" t="n">
        <v>4.25</v>
      </c>
      <c r="F12" s="16" t="n">
        <v>0.0987</v>
      </c>
      <c r="G12" s="13" t="n">
        <v>4.1513</v>
      </c>
      <c r="H12" s="33" t="n">
        <v>0.9767764705882352</v>
      </c>
      <c r="I12" s="9" t="inlineStr">
        <is>
          <t>Claude</t>
        </is>
      </c>
      <c r="J12" s="9" t="inlineStr"/>
    </row>
    <row r="13" ht="16" customHeight="1">
      <c r="A13" s="9" t="inlineStr">
        <is>
          <t>3-Card Reading</t>
        </is>
      </c>
      <c r="B13" s="13" t="n">
        <v>10</v>
      </c>
      <c r="C13" s="13" t="n">
        <v>9.409999999999998</v>
      </c>
      <c r="D13" s="13" t="n">
        <v>8.5</v>
      </c>
      <c r="E13" s="13" t="n">
        <v>8.5</v>
      </c>
      <c r="F13" s="16" t="n">
        <v>0.2177</v>
      </c>
      <c r="G13" s="13" t="n">
        <v>8.282299999999999</v>
      </c>
      <c r="H13" s="33" t="n">
        <v>0.9743882352941176</v>
      </c>
      <c r="I13" s="9" t="inlineStr">
        <is>
          <t>Claude</t>
        </is>
      </c>
      <c r="J13" s="9" t="inlineStr"/>
    </row>
    <row r="14" ht="16" customHeight="1">
      <c r="A14" s="9" t="inlineStr">
        <is>
          <t>5-Card Situational</t>
        </is>
      </c>
      <c r="B14" s="13" t="n">
        <v>15</v>
      </c>
      <c r="C14" s="13" t="n">
        <v>14.265</v>
      </c>
      <c r="D14" s="13" t="n">
        <v>12.75</v>
      </c>
      <c r="E14" s="13" t="n">
        <v>12.75</v>
      </c>
      <c r="F14" s="16" t="n">
        <v>0.294</v>
      </c>
      <c r="G14" s="13" t="n">
        <v>12.456</v>
      </c>
      <c r="H14" s="33" t="n">
        <v>0.9769411764705882</v>
      </c>
      <c r="I14" s="9" t="inlineStr">
        <is>
          <t>Claude</t>
        </is>
      </c>
      <c r="J14" s="9" t="inlineStr"/>
    </row>
    <row r="15" ht="16" customHeight="1">
      <c r="A15" s="9" t="inlineStr">
        <is>
          <t>6-Card Reading</t>
        </is>
      </c>
      <c r="B15" s="13" t="n">
        <v>20</v>
      </c>
      <c r="C15" s="13" t="n">
        <v>19.12</v>
      </c>
      <c r="D15" s="13" t="n">
        <v>17</v>
      </c>
      <c r="E15" s="13" t="n">
        <v>17</v>
      </c>
      <c r="F15" s="16" t="n">
        <v>0.2156</v>
      </c>
      <c r="G15" s="13" t="n">
        <v>16.7844</v>
      </c>
      <c r="H15" s="33" t="n">
        <v>0.9873176470588236</v>
      </c>
      <c r="I15" s="9" t="inlineStr">
        <is>
          <t>Claude</t>
        </is>
      </c>
      <c r="J15" s="9" t="inlineStr"/>
    </row>
    <row r="16" ht="16" customHeight="1">
      <c r="A16" s="9" t="inlineStr">
        <is>
          <t>7-Card Couples Tarot</t>
        </is>
      </c>
      <c r="B16" s="13" t="n">
        <v>20</v>
      </c>
      <c r="C16" s="13" t="n">
        <v>19.12</v>
      </c>
      <c r="D16" s="13" t="n">
        <v>17</v>
      </c>
      <c r="E16" s="13" t="n">
        <v>17</v>
      </c>
      <c r="F16" s="16" t="n">
        <v>0.2308</v>
      </c>
      <c r="G16" s="13" t="n">
        <v>16.7692</v>
      </c>
      <c r="H16" s="33" t="n">
        <v>0.9864235294117648</v>
      </c>
      <c r="I16" s="9" t="inlineStr">
        <is>
          <t>Claude</t>
        </is>
      </c>
      <c r="J16" s="9" t="inlineStr"/>
    </row>
    <row r="17" ht="16" customHeight="1">
      <c r="A17" s="9" t="inlineStr">
        <is>
          <t>10-Card Celtic Cross</t>
        </is>
      </c>
      <c r="B17" s="13" t="n">
        <v>25</v>
      </c>
      <c r="C17" s="13" t="n">
        <v>23.975</v>
      </c>
      <c r="D17" s="13" t="n">
        <v>21.25</v>
      </c>
      <c r="E17" s="13" t="n">
        <v>21.25</v>
      </c>
      <c r="F17" s="16" t="n">
        <v>0.3196</v>
      </c>
      <c r="G17" s="13" t="n">
        <v>20.9304</v>
      </c>
      <c r="H17" s="33" t="n">
        <v>0.9849599999999999</v>
      </c>
      <c r="I17" s="9" t="inlineStr">
        <is>
          <t>Claude</t>
        </is>
      </c>
      <c r="J17" s="9" t="inlineStr"/>
    </row>
    <row r="18" ht="16" customHeight="1">
      <c r="A18" s="9" t="inlineStr">
        <is>
          <t>Couples Star Chart</t>
        </is>
      </c>
      <c r="B18" s="13" t="n">
        <v>44</v>
      </c>
      <c r="C18" s="13" t="n">
        <v>42.424</v>
      </c>
      <c r="D18" s="13" t="n">
        <v>37.4</v>
      </c>
      <c r="E18" s="13" t="n">
        <v>37.4</v>
      </c>
      <c r="F18" s="16" t="n">
        <v>0.1621</v>
      </c>
      <c r="G18" s="13" t="n">
        <v>37.2379</v>
      </c>
      <c r="H18" s="33" t="n">
        <v>0.9956657754010695</v>
      </c>
      <c r="I18" s="9" t="inlineStr">
        <is>
          <t>Claude</t>
        </is>
      </c>
      <c r="J18" s="9" t="inlineStr"/>
    </row>
    <row r="19" ht="16" customHeight="1">
      <c r="A19" s="21" t="inlineStr">
        <is>
          <t>Individual Star Chart (NOT IN THE SHOPS YET)</t>
        </is>
      </c>
      <c r="B19" s="30" t="n">
        <v>22</v>
      </c>
      <c r="C19" s="30" t="n">
        <v>21.062</v>
      </c>
      <c r="D19" s="30" t="n">
        <v>18.7</v>
      </c>
      <c r="E19" s="30" t="n">
        <v>18.7</v>
      </c>
      <c r="F19" s="22" t="n">
        <v>0.268</v>
      </c>
      <c r="G19" s="30" t="n">
        <v>18.432</v>
      </c>
      <c r="H19" s="34" t="n">
        <v>0.9856684491978609</v>
      </c>
      <c r="I19" s="21" t="inlineStr">
        <is>
          <t>Claude</t>
        </is>
      </c>
      <c r="J19" s="21" t="inlineStr">
        <is>
          <t>Russ picked $22 on 8/29. The maths is here. It is not on sale anywhere yet. One word and it ships everywhere.</t>
        </is>
      </c>
    </row>
    <row r="20" ht="16" customHeight="1">
      <c r="A20" s="8" t="inlineStr">
        <is>
          <t>CREDIT PACKS (credits buy audio and extra chat)</t>
        </is>
      </c>
      <c r="B20" s="8" t="inlineStr"/>
      <c r="C20" s="8" t="inlineStr"/>
      <c r="D20" s="8" t="inlineStr"/>
      <c r="E20" s="8" t="inlineStr"/>
      <c r="F20" s="8" t="inlineStr"/>
      <c r="G20" s="8" t="inlineStr"/>
      <c r="H20" s="8" t="inlineStr"/>
      <c r="I20" s="8" t="inlineStr"/>
      <c r="J20" s="8" t="inlineStr"/>
    </row>
    <row r="21" ht="16" customHeight="1">
      <c r="A21" s="9" t="inlineStr">
        <is>
          <t>5 credits</t>
        </is>
      </c>
      <c r="B21" s="13" t="n">
        <v>5.99</v>
      </c>
      <c r="C21" s="13" t="n">
        <v>5.516290000000001</v>
      </c>
      <c r="D21" s="13" t="n">
        <v>5.0915</v>
      </c>
      <c r="E21" s="13" t="n">
        <v>5.0915</v>
      </c>
      <c r="F21" s="16" t="n">
        <v>0.0824</v>
      </c>
      <c r="G21" s="13" t="n">
        <v>0.9359</v>
      </c>
      <c r="H21" s="33" t="n">
        <v>0.9190808209761366</v>
      </c>
      <c r="I21" s="9" t="inlineStr">
        <is>
          <t>Claude</t>
        </is>
      </c>
      <c r="J21" s="9" t="inlineStr">
        <is>
          <t>Bot cost shown is the most expensive way to spend a credit. Profit shown is per credit, not per pack.</t>
        </is>
      </c>
    </row>
    <row r="22" ht="16" customHeight="1">
      <c r="A22" s="9" t="inlineStr">
        <is>
          <t>10 credits</t>
        </is>
      </c>
      <c r="B22" s="13" t="n">
        <v>9.99</v>
      </c>
      <c r="C22" s="13" t="n">
        <v>9.40029</v>
      </c>
      <c r="D22" s="13" t="n">
        <v>8.4915</v>
      </c>
      <c r="E22" s="13" t="n">
        <v>8.4915</v>
      </c>
      <c r="F22" s="16" t="n">
        <v>0.0824</v>
      </c>
      <c r="G22" s="13" t="n">
        <v>0.76675</v>
      </c>
      <c r="H22" s="33" t="n">
        <v>0.9029617853147265</v>
      </c>
      <c r="I22" s="9" t="inlineStr">
        <is>
          <t>Claude</t>
        </is>
      </c>
      <c r="J22" s="9" t="inlineStr">
        <is>
          <t>Bot cost shown is the most expensive way to spend a credit. Profit shown is per credit, not per pack.</t>
        </is>
      </c>
    </row>
    <row r="23" ht="16" customHeight="1">
      <c r="A23" s="8" t="inlineStr">
        <is>
          <t>PAID WITH CREDITS, NOT CASH</t>
        </is>
      </c>
      <c r="B23" s="8" t="inlineStr"/>
      <c r="C23" s="8" t="inlineStr"/>
      <c r="D23" s="8" t="inlineStr"/>
      <c r="E23" s="8" t="inlineStr"/>
      <c r="F23" s="8" t="inlineStr"/>
      <c r="G23" s="8" t="inlineStr"/>
      <c r="H23" s="8" t="inlineStr"/>
      <c r="I23" s="8" t="inlineStr"/>
      <c r="J23" s="8" t="inlineStr"/>
    </row>
    <row r="24" ht="16" customHeight="1">
      <c r="A24" s="9" t="inlineStr">
        <is>
          <t>Follow-up chat message</t>
        </is>
      </c>
      <c r="B24" s="9" t="inlineStr">
        <is>
          <t>1 credit</t>
        </is>
      </c>
      <c r="C24" s="9" t="inlineStr"/>
      <c r="D24" s="9" t="inlineStr"/>
      <c r="E24" s="9" t="inlineStr"/>
      <c r="F24" s="16" t="n">
        <v>0.0824</v>
      </c>
      <c r="G24" s="9" t="inlineStr"/>
      <c r="H24" s="9" t="inlineStr"/>
      <c r="I24" s="9" t="inlineStr">
        <is>
          <t>Claude</t>
        </is>
      </c>
      <c r="J24" s="9" t="inlineStr">
        <is>
          <t>The first reply on every reading is free to the customer.</t>
        </is>
      </c>
    </row>
    <row r="25" ht="16" customHeight="1">
      <c r="A25" s="11" t="inlineStr">
        <is>
          <t>Audio, short reading</t>
        </is>
      </c>
      <c r="B25" s="11" t="inlineStr">
        <is>
          <t>1 credit</t>
        </is>
      </c>
      <c r="C25" s="11" t="inlineStr"/>
      <c r="D25" s="11" t="inlineStr"/>
      <c r="E25" s="11" t="inlineStr"/>
      <c r="F25" s="24" t="n">
        <v>0.0189</v>
      </c>
      <c r="G25" s="11" t="inlineStr"/>
      <c r="H25" s="11" t="inlineStr"/>
      <c r="I25" s="11" t="inlineStr">
        <is>
          <t>Voice</t>
        </is>
      </c>
      <c r="J25" s="11" t="inlineStr">
        <is>
          <t>Saved forever after the first play. Replays cost nothing.</t>
        </is>
      </c>
    </row>
    <row r="26" ht="16" customHeight="1">
      <c r="A26" s="11" t="inlineStr">
        <is>
          <t>Audio, long reading</t>
        </is>
      </c>
      <c r="B26" s="11" t="inlineStr">
        <is>
          <t>1 credit</t>
        </is>
      </c>
      <c r="C26" s="11" t="inlineStr"/>
      <c r="D26" s="11" t="inlineStr"/>
      <c r="E26" s="11" t="inlineStr"/>
      <c r="F26" s="24" t="n">
        <v>0.1143</v>
      </c>
      <c r="G26" s="11" t="inlineStr"/>
      <c r="H26" s="11" t="inlineStr"/>
      <c r="I26" s="11" t="inlineStr">
        <is>
          <t>Voice</t>
        </is>
      </c>
      <c r="J26" s="11" t="inlineStr">
        <is>
          <t>Saved forever after the first play. Replays cost nothing.</t>
        </is>
      </c>
    </row>
    <row r="27" ht="16" customHeight="1">
      <c r="A27" s="8" t="inlineStr">
        <is>
          <t>COMES FREE WITH A PLAN (this is the cost side of a subscription)</t>
        </is>
      </c>
      <c r="B27" s="8" t="inlineStr"/>
      <c r="C27" s="8" t="inlineStr"/>
      <c r="D27" s="8" t="inlineStr"/>
      <c r="E27" s="8" t="inlineStr"/>
      <c r="F27" s="8" t="inlineStr"/>
      <c r="G27" s="8" t="inlineStr"/>
      <c r="H27" s="8" t="inlineStr"/>
      <c r="I27" s="8" t="inlineStr"/>
      <c r="J27" s="8" t="inlineStr"/>
    </row>
    <row r="28" ht="16" customHeight="1">
      <c r="A28" s="10" t="inlineStr">
        <is>
          <t>Daily horoscope</t>
        </is>
      </c>
      <c r="B28" s="10" t="inlineStr">
        <is>
          <t>free with plan</t>
        </is>
      </c>
      <c r="C28" s="10" t="inlineStr"/>
      <c r="D28" s="10" t="inlineStr"/>
      <c r="E28" s="10" t="inlineStr"/>
      <c r="F28" s="18" t="n">
        <v>0.0107</v>
      </c>
      <c r="G28" s="10" t="inlineStr"/>
      <c r="H28" s="10" t="inlineStr"/>
      <c r="I28" s="10" t="inlineStr">
        <is>
          <t>Grok</t>
        </is>
      </c>
      <c r="J28" s="10" t="inlineStr">
        <is>
          <t>Was $0.0412 on Claude. Written once per star sign and shared.</t>
        </is>
      </c>
    </row>
    <row r="29" ht="16" customHeight="1">
      <c r="A29" s="9" t="inlineStr">
        <is>
          <t>Daily push notification line</t>
        </is>
      </c>
      <c r="B29" s="9" t="inlineStr">
        <is>
          <t>free with plan</t>
        </is>
      </c>
      <c r="C29" s="9" t="inlineStr"/>
      <c r="D29" s="9" t="inlineStr"/>
      <c r="E29" s="9" t="inlineStr"/>
      <c r="F29" s="16" t="n">
        <v>0.0058</v>
      </c>
      <c r="G29" s="9" t="inlineStr"/>
      <c r="H29" s="9" t="inlineStr"/>
      <c r="I29" s="9" t="inlineStr">
        <is>
          <t>Claude</t>
        </is>
      </c>
      <c r="J29" s="9" t="inlineStr">
        <is>
          <t>Stays on Claude on purpose. Grok cost more here.</t>
        </is>
      </c>
    </row>
    <row r="30" ht="16" customHeight="1">
      <c r="A30" s="10" t="inlineStr">
        <is>
          <t>Daily collective horoscope</t>
        </is>
      </c>
      <c r="B30" s="10" t="inlineStr">
        <is>
          <t>free with plan</t>
        </is>
      </c>
      <c r="C30" s="10" t="inlineStr"/>
      <c r="D30" s="10" t="inlineStr"/>
      <c r="E30" s="10" t="inlineStr"/>
      <c r="F30" s="18" t="n">
        <v>0.0073</v>
      </c>
      <c r="G30" s="10" t="inlineStr"/>
      <c r="H30" s="10" t="inlineStr"/>
      <c r="I30" s="10" t="inlineStr">
        <is>
          <t>Grok</t>
        </is>
      </c>
      <c r="J30" s="10" t="inlineStr">
        <is>
          <t>Estimate at the measured rate. Was $0.0287 on Claude.</t>
        </is>
      </c>
    </row>
    <row r="31" ht="16" customHeight="1">
      <c r="A31" s="10" t="inlineStr">
        <is>
          <t>Weekly horoscope</t>
        </is>
      </c>
      <c r="B31" s="10" t="inlineStr">
        <is>
          <t>free with plan</t>
        </is>
      </c>
      <c r="C31" s="10" t="inlineStr"/>
      <c r="D31" s="10" t="inlineStr"/>
      <c r="E31" s="10" t="inlineStr"/>
      <c r="F31" s="18" t="n">
        <v>0.008800000000000001</v>
      </c>
      <c r="G31" s="10" t="inlineStr"/>
      <c r="H31" s="10" t="inlineStr"/>
      <c r="I31" s="10" t="inlineStr">
        <is>
          <t>Grok</t>
        </is>
      </c>
      <c r="J31" s="10" t="inlineStr">
        <is>
          <t>Was $0.0303 on Claude. Written once per star sign and shared.</t>
        </is>
      </c>
    </row>
    <row r="32" ht="16" customHeight="1">
      <c r="A32" s="10" t="inlineStr">
        <is>
          <t>Couples weekly horoscope</t>
        </is>
      </c>
      <c r="B32" s="10" t="inlineStr">
        <is>
          <t>free with plan</t>
        </is>
      </c>
      <c r="C32" s="10" t="inlineStr"/>
      <c r="D32" s="10" t="inlineStr"/>
      <c r="E32" s="10" t="inlineStr"/>
      <c r="F32" s="18" t="n">
        <v>0.0312</v>
      </c>
      <c r="G32" s="10" t="inlineStr"/>
      <c r="H32" s="10" t="inlineStr"/>
      <c r="I32" s="10" t="inlineStr">
        <is>
          <t>Grok</t>
        </is>
      </c>
      <c r="J32" s="10" t="inlineStr">
        <is>
          <t>Estimate. Was $0.1228 on Claude. Bloom and up, couples only.</t>
        </is>
      </c>
    </row>
    <row r="33" ht="16" customHeight="1">
      <c r="A33" s="9" t="inlineStr">
        <is>
          <t>Solo star reading</t>
        </is>
      </c>
      <c r="B33" s="9" t="inlineStr">
        <is>
          <t>free with plan</t>
        </is>
      </c>
      <c r="C33" s="9" t="inlineStr"/>
      <c r="D33" s="9" t="inlineStr"/>
      <c r="E33" s="9" t="inlineStr"/>
      <c r="F33" s="16" t="n">
        <v>0.268</v>
      </c>
      <c r="G33" s="9" t="inlineStr"/>
      <c r="H33" s="9" t="inlineStr"/>
      <c r="I33" s="9" t="inlineStr">
        <is>
          <t>Claude</t>
        </is>
      </c>
      <c r="J33" s="9" t="inlineStr">
        <is>
          <t>First one free forever, then it costs a credit.</t>
        </is>
      </c>
    </row>
    <row r="34" ht="16" customHeight="1">
      <c r="A34" s="9" t="inlineStr">
        <is>
          <t>Couples star chart (free with Harvest)</t>
        </is>
      </c>
      <c r="B34" s="9" t="inlineStr">
        <is>
          <t>free with plan</t>
        </is>
      </c>
      <c r="C34" s="9" t="inlineStr"/>
      <c r="D34" s="9" t="inlineStr"/>
      <c r="E34" s="9" t="inlineStr"/>
      <c r="F34" s="16" t="n">
        <v>0.1621</v>
      </c>
      <c r="G34" s="9" t="inlineStr"/>
      <c r="H34" s="9" t="inlineStr"/>
      <c r="I34" s="9" t="inlineStr">
        <is>
          <t>Claude</t>
        </is>
      </c>
      <c r="J34" s="9" t="inlineStr">
        <is>
          <t>Once per couple.</t>
        </is>
      </c>
    </row>
    <row r="35" ht="16" customHeight="1">
      <c r="A35" s="9" t="inlineStr">
        <is>
          <t>Birthday year-ahead</t>
        </is>
      </c>
      <c r="B35" s="9" t="inlineStr">
        <is>
          <t>free with plan</t>
        </is>
      </c>
      <c r="C35" s="9" t="inlineStr"/>
      <c r="D35" s="9" t="inlineStr"/>
      <c r="E35" s="9" t="inlineStr"/>
      <c r="F35" s="16" t="n">
        <v>0.3</v>
      </c>
      <c r="G35" s="9" t="inlineStr"/>
      <c r="H35" s="9" t="inlineStr"/>
      <c r="I35" s="9" t="inlineStr">
        <is>
          <t>Claude</t>
        </is>
      </c>
      <c r="J35" s="9" t="inlineStr">
        <is>
          <t>Estimate. The feature is live, no birthday has landed on it yet.</t>
        </is>
      </c>
    </row>
    <row r="36" ht="16" customHeight="1">
      <c r="A36" s="9" t="inlineStr">
        <is>
          <t>Setup-text warmer</t>
        </is>
      </c>
      <c r="B36" s="9" t="inlineStr">
        <is>
          <t>free with plan</t>
        </is>
      </c>
      <c r="C36" s="9" t="inlineStr"/>
      <c r="D36" s="9" t="inlineStr"/>
      <c r="E36" s="9" t="inlineStr"/>
      <c r="F36" s="16" t="n">
        <v>0.0191</v>
      </c>
      <c r="G36" s="9" t="inlineStr"/>
      <c r="H36" s="9" t="inlineStr"/>
      <c r="I36" s="9" t="inlineStr">
        <is>
          <t>Claude</t>
        </is>
      </c>
      <c r="J36" s="9" t="inlineStr">
        <is>
          <t>$5.63 a month of upkeep that saves about $15 a month. Keep it.</t>
        </is>
      </c>
    </row>
    <row r="37" ht="16" customHeight="1"/>
    <row r="38" ht="16" customHeight="1">
      <c r="A38" s="2" t="inlineStr">
        <is>
          <t>In the chart below, the blue bot-cost bars are so short you can barely see them next to what we keep. That is the whole story of this sheet.</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tabColor rgb="FFB9A67A"/>
    <outlinePr summaryBelow="1" summaryRight="1"/>
    <pageSetUpPr/>
  </sheetPr>
  <dimension ref="A1:J25"/>
  <sheetViews>
    <sheetView workbookViewId="0">
      <pane ySplit="4" topLeftCell="A5" activePane="bottomLeft" state="frozen"/>
      <selection pane="bottomLeft" activeCell="A1" sqref="A1"/>
    </sheetView>
  </sheetViews>
  <sheetFormatPr baseColWidth="8" defaultRowHeight="15"/>
  <cols>
    <col width="32" customWidth="1" min="1" max="1"/>
    <col width="10" customWidth="1" min="2" max="2"/>
    <col width="14" customWidth="1" min="3" max="3"/>
    <col width="25" customWidth="1" min="4" max="4"/>
    <col width="12" customWidth="1" min="5" max="5"/>
    <col width="11" customWidth="1" min="6" max="6"/>
    <col width="13" customWidth="1" min="7" max="7"/>
    <col width="12" customWidth="1" min="8" max="8"/>
    <col width="12" customWidth="1" min="9" max="9"/>
    <col width="11" customWidth="1" min="10" max="10"/>
  </cols>
  <sheetData>
    <row r="1" ht="17" customHeight="1">
      <c r="A1" s="1" t="inlineStr">
        <is>
          <t>COST PER PERSON - WHAT ONE SUBSCRIBER COSTS US IN A MONTH</t>
        </is>
      </c>
    </row>
    <row r="2" ht="16" customHeight="1">
      <c r="A2" s="2" t="inlineStr">
        <is>
          <t>Three real people, not made up. Light is the middle account. Normal is the average account. Heavy is the busiest account we have. All measured from 17 real accounts.</t>
        </is>
      </c>
    </row>
    <row r="3" ht="16" customHeight="1"/>
    <row r="4" ht="16" customHeight="1">
      <c r="A4" s="8" t="inlineStr">
        <is>
          <t>Job</t>
        </is>
      </c>
      <c r="B4" s="8" t="inlineStr">
        <is>
          <t>Bot</t>
        </is>
      </c>
      <c r="C4" s="8" t="inlineStr">
        <is>
          <t>Cost each time</t>
        </is>
      </c>
      <c r="D4" s="8" t="inlineStr">
        <is>
          <t>How it is counted</t>
        </is>
      </c>
      <c r="E4" s="8" t="inlineStr">
        <is>
          <t>Light: times</t>
        </is>
      </c>
      <c r="F4" s="8" t="inlineStr">
        <is>
          <t>Light: $</t>
        </is>
      </c>
      <c r="G4" s="8" t="inlineStr">
        <is>
          <t>Normal: times</t>
        </is>
      </c>
      <c r="H4" s="8" t="inlineStr">
        <is>
          <t>Normal: $</t>
        </is>
      </c>
      <c r="I4" s="8" t="inlineStr">
        <is>
          <t>Heavy: times</t>
        </is>
      </c>
      <c r="J4" s="8" t="inlineStr">
        <is>
          <t>Heavy: $</t>
        </is>
      </c>
    </row>
    <row r="5" ht="16" customHeight="1">
      <c r="A5" s="10" t="inlineStr">
        <is>
          <t>Daily horoscope</t>
        </is>
      </c>
      <c r="B5" s="10" t="inlineStr">
        <is>
          <t>Grok</t>
        </is>
      </c>
      <c r="C5" s="18" t="n">
        <v>0.0107</v>
      </c>
      <c r="D5" s="10" t="inlineStr">
        <is>
          <t>each day they open the app</t>
        </is>
      </c>
      <c r="E5" s="35" t="n">
        <v>8</v>
      </c>
      <c r="F5" s="18" t="n">
        <v>0.0856</v>
      </c>
      <c r="G5" s="35" t="n">
        <v>20</v>
      </c>
      <c r="H5" s="18" t="n">
        <v>0.214</v>
      </c>
      <c r="I5" s="35" t="n">
        <v>30.4</v>
      </c>
      <c r="J5" s="18" t="n">
        <v>0.32528</v>
      </c>
    </row>
    <row r="6" ht="16" customHeight="1">
      <c r="A6" s="9" t="inlineStr">
        <is>
          <t>Daily push notification line</t>
        </is>
      </c>
      <c r="B6" s="9" t="inlineStr">
        <is>
          <t>Claude</t>
        </is>
      </c>
      <c r="C6" s="16" t="n">
        <v>0.0058</v>
      </c>
      <c r="D6" s="9" t="inlineStr">
        <is>
          <t>each day they open the app</t>
        </is>
      </c>
      <c r="E6" s="17" t="n">
        <v>8</v>
      </c>
      <c r="F6" s="16" t="n">
        <v>0.0464</v>
      </c>
      <c r="G6" s="17" t="n">
        <v>20</v>
      </c>
      <c r="H6" s="16" t="n">
        <v>0.116</v>
      </c>
      <c r="I6" s="17" t="n">
        <v>30.4</v>
      </c>
      <c r="J6" s="16" t="n">
        <v>0.17632</v>
      </c>
    </row>
    <row r="7" ht="16" customHeight="1">
      <c r="A7" s="9" t="inlineStr">
        <is>
          <t>1-card readings</t>
        </is>
      </c>
      <c r="B7" s="9" t="inlineStr">
        <is>
          <t>Claude</t>
        </is>
      </c>
      <c r="C7" s="16" t="n">
        <v>0.0987</v>
      </c>
      <c r="D7" s="9" t="inlineStr">
        <is>
          <t>each reading</t>
        </is>
      </c>
      <c r="E7" s="17" t="n">
        <v>2</v>
      </c>
      <c r="F7" s="16" t="n">
        <v>0.1974</v>
      </c>
      <c r="G7" s="17" t="n">
        <v>5</v>
      </c>
      <c r="H7" s="16" t="n">
        <v>0.4935</v>
      </c>
      <c r="I7" s="17" t="n">
        <v>25</v>
      </c>
      <c r="J7" s="16" t="n">
        <v>2.4675</v>
      </c>
    </row>
    <row r="8" ht="16" customHeight="1">
      <c r="A8" s="9" t="inlineStr">
        <is>
          <t>3-card readings</t>
        </is>
      </c>
      <c r="B8" s="9" t="inlineStr">
        <is>
          <t>Claude</t>
        </is>
      </c>
      <c r="C8" s="16" t="n">
        <v>0.2177</v>
      </c>
      <c r="D8" s="9" t="inlineStr">
        <is>
          <t>each reading</t>
        </is>
      </c>
      <c r="E8" s="17" t="n">
        <v>1</v>
      </c>
      <c r="F8" s="16" t="n">
        <v>0.2177</v>
      </c>
      <c r="G8" s="17" t="n">
        <v>2</v>
      </c>
      <c r="H8" s="16" t="n">
        <v>0.4354</v>
      </c>
      <c r="I8" s="17" t="n">
        <v>7</v>
      </c>
      <c r="J8" s="16" t="n">
        <v>1.5239</v>
      </c>
    </row>
    <row r="9" ht="16" customHeight="1">
      <c r="A9" s="9" t="inlineStr">
        <is>
          <t>5-card situational</t>
        </is>
      </c>
      <c r="B9" s="9" t="inlineStr">
        <is>
          <t>Claude</t>
        </is>
      </c>
      <c r="C9" s="16" t="n">
        <v>0.294</v>
      </c>
      <c r="D9" s="9" t="inlineStr">
        <is>
          <t>each reading</t>
        </is>
      </c>
      <c r="E9" s="17" t="n">
        <v>0</v>
      </c>
      <c r="F9" s="16" t="n">
        <v>0</v>
      </c>
      <c r="G9" s="17" t="n">
        <v>1</v>
      </c>
      <c r="H9" s="16" t="n">
        <v>0.294</v>
      </c>
      <c r="I9" s="17" t="n">
        <v>4</v>
      </c>
      <c r="J9" s="16" t="n">
        <v>1.176</v>
      </c>
    </row>
    <row r="10" ht="16" customHeight="1">
      <c r="A10" s="9" t="inlineStr">
        <is>
          <t>6-card reading</t>
        </is>
      </c>
      <c r="B10" s="9" t="inlineStr">
        <is>
          <t>Claude</t>
        </is>
      </c>
      <c r="C10" s="16" t="n">
        <v>0.2156</v>
      </c>
      <c r="D10" s="9" t="inlineStr">
        <is>
          <t>each reading</t>
        </is>
      </c>
      <c r="E10" s="17" t="n">
        <v>0</v>
      </c>
      <c r="F10" s="16" t="n">
        <v>0</v>
      </c>
      <c r="G10" s="17" t="n">
        <v>0.5</v>
      </c>
      <c r="H10" s="16" t="n">
        <v>0.1078</v>
      </c>
      <c r="I10" s="17" t="n">
        <v>8</v>
      </c>
      <c r="J10" s="16" t="n">
        <v>1.7248</v>
      </c>
    </row>
    <row r="11" ht="16" customHeight="1">
      <c r="A11" s="9" t="inlineStr">
        <is>
          <t>7-card couples tarot</t>
        </is>
      </c>
      <c r="B11" s="9" t="inlineStr">
        <is>
          <t>Claude</t>
        </is>
      </c>
      <c r="C11" s="16" t="n">
        <v>0.2308</v>
      </c>
      <c r="D11" s="9" t="inlineStr">
        <is>
          <t>each reading</t>
        </is>
      </c>
      <c r="E11" s="17" t="n">
        <v>0</v>
      </c>
      <c r="F11" s="16" t="n">
        <v>0</v>
      </c>
      <c r="G11" s="17" t="n">
        <v>0</v>
      </c>
      <c r="H11" s="16" t="n">
        <v>0</v>
      </c>
      <c r="I11" s="17" t="n">
        <v>0</v>
      </c>
      <c r="J11" s="16" t="n">
        <v>0</v>
      </c>
    </row>
    <row r="12" ht="16" customHeight="1">
      <c r="A12" s="9" t="inlineStr">
        <is>
          <t>10-card Celtic Cross</t>
        </is>
      </c>
      <c r="B12" s="9" t="inlineStr">
        <is>
          <t>Claude</t>
        </is>
      </c>
      <c r="C12" s="16" t="n">
        <v>0.3196</v>
      </c>
      <c r="D12" s="9" t="inlineStr">
        <is>
          <t>each reading</t>
        </is>
      </c>
      <c r="E12" s="17" t="n">
        <v>0</v>
      </c>
      <c r="F12" s="16" t="n">
        <v>0</v>
      </c>
      <c r="G12" s="17" t="n">
        <v>0.3</v>
      </c>
      <c r="H12" s="16" t="n">
        <v>0.09587999999999999</v>
      </c>
      <c r="I12" s="17" t="n">
        <v>5</v>
      </c>
      <c r="J12" s="16" t="n">
        <v>1.598</v>
      </c>
    </row>
    <row r="13" ht="16" customHeight="1">
      <c r="A13" s="10" t="inlineStr">
        <is>
          <t>Weekly horoscope</t>
        </is>
      </c>
      <c r="B13" s="10" t="inlineStr">
        <is>
          <t>Grok</t>
        </is>
      </c>
      <c r="C13" s="18" t="n">
        <v>0.008800000000000001</v>
      </c>
      <c r="D13" s="10" t="inlineStr">
        <is>
          <t>each week they read it</t>
        </is>
      </c>
      <c r="E13" s="35" t="n">
        <v>0</v>
      </c>
      <c r="F13" s="18" t="n">
        <v>0</v>
      </c>
      <c r="G13" s="35" t="n">
        <v>2</v>
      </c>
      <c r="H13" s="18" t="n">
        <v>0.0176</v>
      </c>
      <c r="I13" s="35" t="n">
        <v>4.33</v>
      </c>
      <c r="J13" s="18" t="n">
        <v>0.03810400000000001</v>
      </c>
    </row>
    <row r="14" ht="16" customHeight="1">
      <c r="A14" s="9" t="inlineStr">
        <is>
          <t>Follow-up chat about a reading</t>
        </is>
      </c>
      <c r="B14" s="9" t="inlineStr">
        <is>
          <t>Claude</t>
        </is>
      </c>
      <c r="C14" s="16" t="n">
        <v>0.0824</v>
      </c>
      <c r="D14" s="9" t="inlineStr">
        <is>
          <t>each message</t>
        </is>
      </c>
      <c r="E14" s="17" t="n">
        <v>1</v>
      </c>
      <c r="F14" s="16" t="n">
        <v>0.0824</v>
      </c>
      <c r="G14" s="17" t="n">
        <v>3</v>
      </c>
      <c r="H14" s="16" t="n">
        <v>0.2472</v>
      </c>
      <c r="I14" s="17" t="n">
        <v>10</v>
      </c>
      <c r="J14" s="16" t="n">
        <v>0.8240000000000001</v>
      </c>
    </row>
    <row r="15" ht="16" customHeight="1">
      <c r="A15" s="11" t="inlineStr">
        <is>
          <t>Audio, short reading</t>
        </is>
      </c>
      <c r="B15" s="11" t="inlineStr">
        <is>
          <t>Voice</t>
        </is>
      </c>
      <c r="C15" s="24" t="n">
        <v>0.0189</v>
      </c>
      <c r="D15" s="11" t="inlineStr">
        <is>
          <t>each play</t>
        </is>
      </c>
      <c r="E15" s="25" t="n">
        <v>0</v>
      </c>
      <c r="F15" s="24" t="n">
        <v>0</v>
      </c>
      <c r="G15" s="25" t="n">
        <v>1</v>
      </c>
      <c r="H15" s="24" t="n">
        <v>0.0189</v>
      </c>
      <c r="I15" s="25" t="n">
        <v>4</v>
      </c>
      <c r="J15" s="24" t="n">
        <v>0.0756</v>
      </c>
    </row>
    <row r="16" ht="16" customHeight="1">
      <c r="A16" s="11" t="inlineStr">
        <is>
          <t>Audio, long reading</t>
        </is>
      </c>
      <c r="B16" s="11" t="inlineStr">
        <is>
          <t>Voice</t>
        </is>
      </c>
      <c r="C16" s="24" t="n">
        <v>0.1143</v>
      </c>
      <c r="D16" s="11" t="inlineStr">
        <is>
          <t>each play</t>
        </is>
      </c>
      <c r="E16" s="25" t="n">
        <v>0</v>
      </c>
      <c r="F16" s="24" t="n">
        <v>0</v>
      </c>
      <c r="G16" s="25" t="n">
        <v>1</v>
      </c>
      <c r="H16" s="24" t="n">
        <v>0.1143</v>
      </c>
      <c r="I16" s="25" t="n">
        <v>4</v>
      </c>
      <c r="J16" s="24" t="n">
        <v>0.4572</v>
      </c>
    </row>
    <row r="17" ht="16" customHeight="1">
      <c r="A17" s="9" t="inlineStr">
        <is>
          <t>Solo star reading</t>
        </is>
      </c>
      <c r="B17" s="9" t="inlineStr">
        <is>
          <t>Claude</t>
        </is>
      </c>
      <c r="C17" s="16" t="n">
        <v>0.268</v>
      </c>
      <c r="D17" s="9" t="inlineStr">
        <is>
          <t>once, then costs a credit</t>
        </is>
      </c>
      <c r="E17" s="17" t="n">
        <v>0</v>
      </c>
      <c r="F17" s="16" t="n">
        <v>0</v>
      </c>
      <c r="G17" s="17" t="n">
        <v>0.1</v>
      </c>
      <c r="H17" s="16" t="n">
        <v>0.0268</v>
      </c>
      <c r="I17" s="17" t="n">
        <v>1</v>
      </c>
      <c r="J17" s="16" t="n">
        <v>0.268</v>
      </c>
    </row>
    <row r="18" ht="16" customHeight="1">
      <c r="A18" s="9" t="inlineStr">
        <is>
          <t>Couples star chart</t>
        </is>
      </c>
      <c r="B18" s="9" t="inlineStr">
        <is>
          <t>Claude</t>
        </is>
      </c>
      <c r="C18" s="16" t="n">
        <v>0.1621</v>
      </c>
      <c r="D18" s="9" t="inlineStr">
        <is>
          <t>once per couple</t>
        </is>
      </c>
      <c r="E18" s="17" t="n">
        <v>0</v>
      </c>
      <c r="F18" s="16" t="n">
        <v>0</v>
      </c>
      <c r="G18" s="17" t="n">
        <v>0</v>
      </c>
      <c r="H18" s="16" t="n">
        <v>0</v>
      </c>
      <c r="I18" s="17" t="n">
        <v>0.08</v>
      </c>
      <c r="J18" s="16" t="n">
        <v>0.012968</v>
      </c>
    </row>
    <row r="19" ht="16" customHeight="1">
      <c r="A19" s="10" t="inlineStr">
        <is>
          <t>Couples weekly horoscope</t>
        </is>
      </c>
      <c r="B19" s="10" t="inlineStr">
        <is>
          <t>Grok</t>
        </is>
      </c>
      <c r="C19" s="18" t="n">
        <v>0.0312</v>
      </c>
      <c r="D19" s="10" t="inlineStr">
        <is>
          <t>each week, per couple</t>
        </is>
      </c>
      <c r="E19" s="35" t="n">
        <v>0</v>
      </c>
      <c r="F19" s="18" t="n">
        <v>0</v>
      </c>
      <c r="G19" s="35" t="n">
        <v>0</v>
      </c>
      <c r="H19" s="18" t="n">
        <v>0</v>
      </c>
      <c r="I19" s="35" t="n">
        <v>0</v>
      </c>
      <c r="J19" s="18" t="n">
        <v>0</v>
      </c>
    </row>
    <row r="20" ht="16" customHeight="1"/>
    <row r="21" ht="16" customHeight="1">
      <c r="A21" s="14" t="inlineStr">
        <is>
          <t>TOTAL BOT COST, ONE PERSON, ONE MONTH</t>
        </is>
      </c>
      <c r="B21" s="14" t="inlineStr"/>
      <c r="C21" s="14" t="inlineStr"/>
      <c r="D21" s="14" t="inlineStr"/>
      <c r="E21" s="14" t="inlineStr"/>
      <c r="F21" s="15" t="n">
        <v>0.6295000000000001</v>
      </c>
      <c r="G21" s="14" t="inlineStr"/>
      <c r="H21" s="15" t="n">
        <v>2.18138</v>
      </c>
      <c r="I21" s="14" t="inlineStr"/>
      <c r="J21" s="15" t="n">
        <v>10.667672</v>
      </c>
    </row>
    <row r="22" ht="16" customHeight="1">
      <c r="A22" s="2" t="inlineStr">
        <is>
          <t>Same three people on the 8/20 numbers (before Grok, before the warmer)</t>
        </is>
      </c>
      <c r="B22" s="2" t="inlineStr"/>
      <c r="C22" s="2" t="inlineStr"/>
      <c r="D22" s="2" t="inlineStr"/>
      <c r="E22" s="2" t="inlineStr"/>
      <c r="F22" s="7" t="n">
        <v>1.07</v>
      </c>
      <c r="G22" s="2" t="inlineStr"/>
      <c r="H22" s="7" t="n">
        <v>3.43</v>
      </c>
      <c r="I22" s="2" t="inlineStr"/>
      <c r="J22" s="7" t="n">
        <v>15.35</v>
      </c>
    </row>
    <row r="23" ht="16" customHeight="1">
      <c r="A23" s="14" t="inlineStr">
        <is>
          <t>How much cheaper now</t>
        </is>
      </c>
      <c r="B23" s="14" t="inlineStr"/>
      <c r="C23" s="14" t="inlineStr"/>
      <c r="D23" s="14" t="inlineStr"/>
      <c r="E23" s="14" t="inlineStr"/>
      <c r="F23" s="15" t="n">
        <v>0.4405</v>
      </c>
      <c r="G23" s="14" t="inlineStr"/>
      <c r="H23" s="15" t="n">
        <v>1.24862</v>
      </c>
      <c r="I23" s="14" t="inlineStr"/>
      <c r="J23" s="15" t="n">
        <v>4.682327999999998</v>
      </c>
    </row>
    <row r="24" ht="16" customHeight="1"/>
    <row r="25" ht="16" customHeight="1">
      <c r="A25" s="2" t="inlineStr">
        <is>
          <t>Even our busiest user costs about $10.67 a month in bots. The cheapest plan, Seed, brings in $8.50 after the store's cut, and a normal subscriber costs us $2.18. The top plan, Harvest, brings in $28.05.</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FFB9A67A"/>
    <outlinePr summaryBelow="1" summaryRight="1"/>
    <pageSetUpPr/>
  </sheetPr>
  <dimension ref="A1:I40"/>
  <sheetViews>
    <sheetView workbookViewId="0">
      <selection activeCell="A1" sqref="A1"/>
    </sheetView>
  </sheetViews>
  <sheetFormatPr baseColWidth="8" defaultRowHeight="15"/>
  <cols>
    <col width="28" customWidth="1" min="1" max="1"/>
    <col width="14" customWidth="1" min="2" max="2"/>
    <col width="17" customWidth="1" min="3" max="3"/>
    <col width="18" customWidth="1" min="4" max="4"/>
    <col width="21" customWidth="1" min="5" max="5"/>
    <col width="19" customWidth="1" min="6" max="6"/>
    <col width="26" customWidth="1" min="7" max="7"/>
    <col width="6" customWidth="1" min="8" max="8"/>
    <col width="68" customWidth="1" min="9" max="9"/>
  </cols>
  <sheetData>
    <row r="1" ht="17" customHeight="1">
      <c r="A1" s="1" t="inlineStr">
        <is>
          <t>THE PLANS - PRICE AGAINST COST</t>
        </is>
      </c>
    </row>
    <row r="2" ht="16" customHeight="1">
      <c r="A2" s="2" t="inlineStr">
        <is>
          <t>'Worst case' means one person used every single thing their plan allows, every single month. Nobody actually does that. It is the floor: if we still make money here, we make money everywhere.</t>
        </is>
      </c>
    </row>
    <row r="3" ht="16" customHeight="1"/>
    <row r="4" ht="16" customHeight="1">
      <c r="A4" s="8" t="inlineStr">
        <is>
          <t>A. THE PLANS AS THEY ARE TODAY (live since 8/28)</t>
        </is>
      </c>
      <c r="B4" s="8" t="inlineStr"/>
      <c r="C4" s="8" t="inlineStr"/>
      <c r="D4" s="8" t="inlineStr"/>
      <c r="E4" s="8" t="inlineStr"/>
      <c r="F4" s="8" t="inlineStr"/>
      <c r="G4" s="8" t="inlineStr"/>
      <c r="H4" s="8" t="inlineStr"/>
      <c r="I4" s="8" t="inlineStr"/>
    </row>
    <row r="5" ht="16" customHeight="1">
      <c r="A5" s="8" t="inlineStr">
        <is>
          <t>Plan</t>
        </is>
      </c>
      <c r="B5" s="8" t="inlineStr">
        <is>
          <t>Price</t>
        </is>
      </c>
      <c r="C5" s="8" t="inlineStr">
        <is>
          <t>We keep, store</t>
        </is>
      </c>
      <c r="D5" s="8" t="inlineStr">
        <is>
          <t>We keep, website</t>
        </is>
      </c>
      <c r="E5" s="8" t="inlineStr">
        <is>
          <t>Bot cost, worst case</t>
        </is>
      </c>
      <c r="F5" s="8" t="inlineStr">
        <is>
          <t>Profit, worst case</t>
        </is>
      </c>
      <c r="G5" s="8" t="inlineStr">
        <is>
          <t>Profit, normal user</t>
        </is>
      </c>
      <c r="H5" s="8" t="inlineStr"/>
      <c r="I5" s="8" t="inlineStr">
        <is>
          <t>Verdict</t>
        </is>
      </c>
    </row>
    <row r="6" ht="16" customHeight="1">
      <c r="A6" s="2" t="inlineStr">
        <is>
          <t>Seed</t>
        </is>
      </c>
      <c r="B6" s="7" t="n">
        <v>10</v>
      </c>
      <c r="C6" s="7" t="n">
        <v>8.5</v>
      </c>
      <c r="D6" s="7" t="n">
        <v>9.409999999999998</v>
      </c>
      <c r="E6" s="7" t="n">
        <v>4.482824999999999</v>
      </c>
      <c r="F6" s="7" t="n">
        <v>4.017175000000001</v>
      </c>
      <c r="G6" s="7" t="n">
        <v>6.31862</v>
      </c>
      <c r="H6" s="2" t="inlineStr"/>
      <c r="I6" s="2" t="inlineStr">
        <is>
          <t>Makes money even at worst case</t>
        </is>
      </c>
    </row>
    <row r="7" ht="16" customHeight="1">
      <c r="A7" s="2" t="inlineStr">
        <is>
          <t>Root</t>
        </is>
      </c>
      <c r="B7" s="7" t="n">
        <v>14</v>
      </c>
      <c r="C7" s="7" t="n">
        <v>11.9</v>
      </c>
      <c r="D7" s="7" t="n">
        <v>13.294</v>
      </c>
      <c r="E7" s="7" t="n">
        <v>4.992424999999999</v>
      </c>
      <c r="F7" s="7" t="n">
        <v>6.907575000000001</v>
      </c>
      <c r="G7" s="7" t="n">
        <v>9.718620000000001</v>
      </c>
      <c r="H7" s="2" t="inlineStr"/>
      <c r="I7" s="2" t="inlineStr">
        <is>
          <t>Makes money even at worst case</t>
        </is>
      </c>
    </row>
    <row r="8" ht="16" customHeight="1">
      <c r="A8" s="2" t="inlineStr">
        <is>
          <t>Bloom</t>
        </is>
      </c>
      <c r="B8" s="7" t="n">
        <v>17</v>
      </c>
      <c r="C8" s="7" t="n">
        <v>14.45</v>
      </c>
      <c r="D8" s="7" t="n">
        <v>16.207</v>
      </c>
      <c r="E8" s="7" t="n">
        <v>5.756321</v>
      </c>
      <c r="F8" s="7" t="n">
        <v>8.693678999999999</v>
      </c>
      <c r="G8" s="7" t="n">
        <v>12.26862</v>
      </c>
      <c r="H8" s="2" t="inlineStr"/>
      <c r="I8" s="2" t="inlineStr">
        <is>
          <t>Makes money even at worst case</t>
        </is>
      </c>
    </row>
    <row r="9" ht="16" customHeight="1">
      <c r="A9" s="2" t="inlineStr">
        <is>
          <t>Harvest</t>
        </is>
      </c>
      <c r="B9" s="7" t="n">
        <v>33</v>
      </c>
      <c r="C9" s="7" t="n">
        <v>28.05</v>
      </c>
      <c r="D9" s="7" t="n">
        <v>31.743</v>
      </c>
      <c r="E9" s="7" t="n">
        <v>6.047962666666666</v>
      </c>
      <c r="F9" s="7" t="n">
        <v>22.00203733333333</v>
      </c>
      <c r="G9" s="7" t="n">
        <v>25.86862</v>
      </c>
      <c r="H9" s="2" t="inlineStr"/>
      <c r="I9" s="2" t="inlineStr">
        <is>
          <t>Makes money even at worst case</t>
        </is>
      </c>
    </row>
    <row r="10" ht="16" customHeight="1"/>
    <row r="11" ht="16" customHeight="1">
      <c r="A11" s="8" t="inlineStr">
        <is>
          <t>B. AN IDEA WE HAVE NOT SHIPPED: a monthly pool instead of daily allowances</t>
        </is>
      </c>
      <c r="B11" s="8" t="inlineStr"/>
      <c r="C11" s="8" t="inlineStr"/>
      <c r="D11" s="8" t="inlineStr"/>
      <c r="E11" s="8" t="inlineStr"/>
      <c r="F11" s="8" t="inlineStr"/>
      <c r="G11" s="8" t="inlineStr"/>
      <c r="H11" s="8" t="inlineStr"/>
      <c r="I11" s="8" t="inlineStr"/>
    </row>
    <row r="12" ht="16" customHeight="1">
      <c r="A12" s="2" t="inlineStr">
        <is>
          <t>Holly's words: 'not a 10-card every day'. The idea is one reading per day of the month, with limits on the big spreads, and everything else is a 1-card. Nothing has changed. This is maths on paper.</t>
        </is>
      </c>
    </row>
    <row r="13" ht="16" customHeight="1">
      <c r="A13" s="8" t="inlineStr">
        <is>
          <t>Plan</t>
        </is>
      </c>
      <c r="B13" s="8" t="inlineStr">
        <is>
          <t>Price</t>
        </is>
      </c>
      <c r="C13" s="8" t="inlineStr">
        <is>
          <t>We keep, store</t>
        </is>
      </c>
      <c r="D13" s="8" t="inlineStr">
        <is>
          <t>We keep, website</t>
        </is>
      </c>
      <c r="E13" s="8" t="inlineStr">
        <is>
          <t>Bot cost, worst case</t>
        </is>
      </c>
      <c r="F13" s="8" t="inlineStr">
        <is>
          <t>Profit, worst case</t>
        </is>
      </c>
      <c r="G13" s="8" t="inlineStr">
        <is>
          <t>Limits: 3 / 5 / 6 / 7 / 10 card</t>
        </is>
      </c>
      <c r="H13" s="8" t="inlineStr"/>
      <c r="I13" s="8" t="inlineStr">
        <is>
          <t>Verdict</t>
        </is>
      </c>
    </row>
    <row r="14" ht="16" customHeight="1">
      <c r="A14" s="2" t="inlineStr">
        <is>
          <t>Seed</t>
        </is>
      </c>
      <c r="B14" s="7" t="n">
        <v>10</v>
      </c>
      <c r="C14" s="7" t="n">
        <v>8.5</v>
      </c>
      <c r="D14" s="7" t="n">
        <v>9.409999999999998</v>
      </c>
      <c r="E14" s="7" t="n">
        <v>4.730184</v>
      </c>
      <c r="F14" s="7" t="n">
        <v>3.769816</v>
      </c>
      <c r="G14" s="2" t="inlineStr">
        <is>
          <t>10 / 0 / 0 / 0 / 0</t>
        </is>
      </c>
      <c r="H14" s="2" t="inlineStr"/>
      <c r="I14" s="2" t="inlineStr">
        <is>
          <t>Makes money even at worst case</t>
        </is>
      </c>
    </row>
    <row r="15" ht="16" customHeight="1">
      <c r="A15" s="2" t="inlineStr">
        <is>
          <t>Root</t>
        </is>
      </c>
      <c r="B15" s="7" t="n">
        <v>14</v>
      </c>
      <c r="C15" s="7" t="n">
        <v>11.9</v>
      </c>
      <c r="D15" s="7" t="n">
        <v>13.294</v>
      </c>
      <c r="E15" s="7" t="n">
        <v>5.384984</v>
      </c>
      <c r="F15" s="7" t="n">
        <v>6.515016</v>
      </c>
      <c r="G15" s="2" t="inlineStr">
        <is>
          <t>10 / 2 / 2 / 0 / 0</t>
        </is>
      </c>
      <c r="H15" s="2" t="inlineStr"/>
      <c r="I15" s="2" t="inlineStr">
        <is>
          <t>Makes money even at worst case</t>
        </is>
      </c>
    </row>
    <row r="16" ht="16" customHeight="1">
      <c r="A16" s="2" t="inlineStr">
        <is>
          <t>Bloom</t>
        </is>
      </c>
      <c r="B16" s="7" t="n">
        <v>17</v>
      </c>
      <c r="C16" s="7" t="n">
        <v>14.45</v>
      </c>
      <c r="D16" s="7" t="n">
        <v>16.207</v>
      </c>
      <c r="E16" s="7" t="n">
        <v>6.421379999999999</v>
      </c>
      <c r="F16" s="7" t="n">
        <v>8.02862</v>
      </c>
      <c r="G16" s="2" t="inlineStr">
        <is>
          <t>10 / 3 / 3 / 1 / 2</t>
        </is>
      </c>
      <c r="H16" s="2" t="inlineStr"/>
      <c r="I16" s="2" t="inlineStr">
        <is>
          <t>Makes money even at worst case</t>
        </is>
      </c>
    </row>
    <row r="17" ht="16" customHeight="1">
      <c r="A17" s="2" t="inlineStr">
        <is>
          <t>Harvest</t>
        </is>
      </c>
      <c r="B17" s="7" t="n">
        <v>33</v>
      </c>
      <c r="C17" s="7" t="n">
        <v>28.05</v>
      </c>
      <c r="D17" s="7" t="n">
        <v>31.743</v>
      </c>
      <c r="E17" s="7" t="n">
        <v>7.400621666666666</v>
      </c>
      <c r="F17" s="7" t="n">
        <v>20.64937833333333</v>
      </c>
      <c r="G17" s="2" t="inlineStr">
        <is>
          <t>12 / 4 / 4 / 2 / 3</t>
        </is>
      </c>
      <c r="H17" s="2" t="inlineStr"/>
      <c r="I17" s="2" t="inlineStr">
        <is>
          <t>Makes money even at worst case</t>
        </is>
      </c>
    </row>
    <row r="18" ht="16" customHeight="1"/>
    <row r="19" ht="16" customHeight="1">
      <c r="A19" s="8" t="inlineStr">
        <is>
          <t>C. THREE PRICE IDEAS WE LOOKED AT (A is the one we shipped)</t>
        </is>
      </c>
      <c r="B19" s="8" t="inlineStr"/>
      <c r="C19" s="8" t="inlineStr"/>
      <c r="D19" s="8" t="inlineStr"/>
      <c r="E19" s="8" t="inlineStr"/>
      <c r="F19" s="8" t="inlineStr"/>
      <c r="G19" s="8" t="inlineStr"/>
      <c r="H19" s="8" t="inlineStr"/>
      <c r="I19" s="8" t="inlineStr"/>
    </row>
    <row r="20" ht="16" customHeight="1">
      <c r="A20" s="8" t="inlineStr">
        <is>
          <t>Idea</t>
        </is>
      </c>
      <c r="B20" s="8" t="inlineStr">
        <is>
          <t>Plan</t>
        </is>
      </c>
      <c r="C20" s="8" t="inlineStr">
        <is>
          <t>Price</t>
        </is>
      </c>
      <c r="D20" s="8" t="inlineStr">
        <is>
          <t>We keep, store</t>
        </is>
      </c>
      <c r="E20" s="8" t="inlineStr">
        <is>
          <t>Bot cost, worst case</t>
        </is>
      </c>
      <c r="F20" s="8" t="inlineStr">
        <is>
          <t>Profit, worst case</t>
        </is>
      </c>
      <c r="G20" s="8" t="inlineStr"/>
      <c r="H20" s="8" t="inlineStr"/>
      <c r="I20" s="8" t="inlineStr">
        <is>
          <t>Note</t>
        </is>
      </c>
    </row>
    <row r="21" ht="16" customHeight="1">
      <c r="A21" s="2" t="inlineStr">
        <is>
          <t>A: SHIPPED $10 / $14 / $17 / $33</t>
        </is>
      </c>
      <c r="B21" s="2" t="inlineStr">
        <is>
          <t>Seed</t>
        </is>
      </c>
      <c r="C21" s="7" t="n">
        <v>10</v>
      </c>
      <c r="D21" s="7" t="n">
        <v>8.5</v>
      </c>
      <c r="E21" s="7" t="n">
        <v>4.730184</v>
      </c>
      <c r="F21" s="7" t="n">
        <v>3.769816</v>
      </c>
      <c r="G21" s="2" t="inlineStr"/>
      <c r="H21" s="2" t="inlineStr"/>
      <c r="I21" s="2" t="inlineStr"/>
    </row>
    <row r="22" ht="16" customHeight="1">
      <c r="A22" s="2" t="inlineStr"/>
      <c r="B22" s="2" t="inlineStr">
        <is>
          <t>Root</t>
        </is>
      </c>
      <c r="C22" s="7" t="n">
        <v>14</v>
      </c>
      <c r="D22" s="7" t="n">
        <v>11.9</v>
      </c>
      <c r="E22" s="7" t="n">
        <v>5.384984</v>
      </c>
      <c r="F22" s="7" t="n">
        <v>6.515016</v>
      </c>
      <c r="G22" s="2" t="inlineStr"/>
      <c r="H22" s="2" t="inlineStr"/>
      <c r="I22" s="2" t="inlineStr"/>
    </row>
    <row r="23" ht="16" customHeight="1">
      <c r="A23" s="2" t="inlineStr"/>
      <c r="B23" s="2" t="inlineStr">
        <is>
          <t>Bloom</t>
        </is>
      </c>
      <c r="C23" s="7" t="n">
        <v>17</v>
      </c>
      <c r="D23" s="7" t="n">
        <v>14.45</v>
      </c>
      <c r="E23" s="7" t="n">
        <v>6.421379999999999</v>
      </c>
      <c r="F23" s="7" t="n">
        <v>8.02862</v>
      </c>
      <c r="G23" s="2" t="inlineStr"/>
      <c r="H23" s="2" t="inlineStr"/>
      <c r="I23" s="2" t="inlineStr"/>
    </row>
    <row r="24" ht="16" customHeight="1">
      <c r="A24" s="2" t="inlineStr"/>
      <c r="B24" s="2" t="inlineStr">
        <is>
          <t>Harvest</t>
        </is>
      </c>
      <c r="C24" s="7" t="n">
        <v>33</v>
      </c>
      <c r="D24" s="7" t="n">
        <v>28.05</v>
      </c>
      <c r="E24" s="7" t="n">
        <v>7.400621666666666</v>
      </c>
      <c r="F24" s="7" t="n">
        <v>20.64937833333333</v>
      </c>
      <c r="G24" s="2" t="inlineStr"/>
      <c r="H24" s="2" t="inlineStr"/>
      <c r="I24" s="2" t="inlineStr"/>
    </row>
    <row r="25" ht="16" customHeight="1"/>
    <row r="26" ht="16" customHeight="1">
      <c r="A26" s="2" t="inlineStr">
        <is>
          <t>B: dinner idea $10 / $15 / $20 / $30</t>
        </is>
      </c>
      <c r="B26" s="2" t="inlineStr">
        <is>
          <t>Seed</t>
        </is>
      </c>
      <c r="C26" s="7" t="n">
        <v>10</v>
      </c>
      <c r="D26" s="7" t="n">
        <v>8.5</v>
      </c>
      <c r="E26" s="7" t="n">
        <v>4.730184</v>
      </c>
      <c r="F26" s="7" t="n">
        <v>3.769816</v>
      </c>
      <c r="G26" s="2" t="inlineStr"/>
      <c r="H26" s="2" t="inlineStr"/>
      <c r="I26" s="2" t="inlineStr"/>
    </row>
    <row r="27" ht="16" customHeight="1">
      <c r="A27" s="2" t="inlineStr"/>
      <c r="B27" s="2" t="inlineStr">
        <is>
          <t>Root</t>
        </is>
      </c>
      <c r="C27" s="7" t="n">
        <v>15</v>
      </c>
      <c r="D27" s="7" t="n">
        <v>12.75</v>
      </c>
      <c r="E27" s="7" t="n">
        <v>5.384984</v>
      </c>
      <c r="F27" s="7" t="n">
        <v>7.365016</v>
      </c>
      <c r="G27" s="2" t="inlineStr"/>
      <c r="H27" s="2" t="inlineStr"/>
      <c r="I27" s="2" t="inlineStr"/>
    </row>
    <row r="28" ht="16" customHeight="1">
      <c r="A28" s="2" t="inlineStr"/>
      <c r="B28" s="2" t="inlineStr">
        <is>
          <t>Bloom</t>
        </is>
      </c>
      <c r="C28" s="7" t="n">
        <v>20</v>
      </c>
      <c r="D28" s="7" t="n">
        <v>17</v>
      </c>
      <c r="E28" s="7" t="n">
        <v>6.421379999999999</v>
      </c>
      <c r="F28" s="7" t="n">
        <v>10.57862</v>
      </c>
      <c r="G28" s="2" t="inlineStr"/>
      <c r="H28" s="2" t="inlineStr"/>
      <c r="I28" s="2" t="inlineStr">
        <is>
          <t>Holly at dinner: '$20 a month is a hard sell. Keep it in the teens.'</t>
        </is>
      </c>
    </row>
    <row r="29" ht="16" customHeight="1">
      <c r="A29" s="2" t="inlineStr"/>
      <c r="B29" s="2" t="inlineStr">
        <is>
          <t>Harvest</t>
        </is>
      </c>
      <c r="C29" s="7" t="n">
        <v>30</v>
      </c>
      <c r="D29" s="7" t="n">
        <v>25.5</v>
      </c>
      <c r="E29" s="7" t="n">
        <v>7.400621666666666</v>
      </c>
      <c r="F29" s="7" t="n">
        <v>18.09937833333333</v>
      </c>
      <c r="G29" s="2" t="inlineStr"/>
      <c r="H29" s="2" t="inlineStr"/>
      <c r="I29" s="2" t="inlineStr"/>
    </row>
    <row r="30" ht="16" customHeight="1"/>
    <row r="31" ht="16" customHeight="1">
      <c r="A31" s="2" t="inlineStr">
        <is>
          <t>C: two plans (drop Root)</t>
        </is>
      </c>
      <c r="B31" s="2" t="inlineStr">
        <is>
          <t>Seed</t>
        </is>
      </c>
      <c r="C31" s="7" t="n">
        <v>10</v>
      </c>
      <c r="D31" s="7" t="n">
        <v>8.5</v>
      </c>
      <c r="E31" s="7" t="n">
        <v>4.730184</v>
      </c>
      <c r="F31" s="7" t="n">
        <v>3.769816</v>
      </c>
      <c r="G31" s="2" t="inlineStr"/>
      <c r="H31" s="2" t="inlineStr"/>
      <c r="I31" s="2" t="inlineStr">
        <is>
          <t>The idea was Seed and Bloom only, no Root in the middle.</t>
        </is>
      </c>
    </row>
    <row r="32" ht="16" customHeight="1">
      <c r="A32" s="2" t="inlineStr"/>
      <c r="B32" s="2" t="inlineStr">
        <is>
          <t>Bloom</t>
        </is>
      </c>
      <c r="C32" s="7" t="n">
        <v>17</v>
      </c>
      <c r="D32" s="7" t="n">
        <v>14.45</v>
      </c>
      <c r="E32" s="7" t="n">
        <v>6.421379999999999</v>
      </c>
      <c r="F32" s="7" t="n">
        <v>8.02862</v>
      </c>
      <c r="G32" s="2" t="inlineStr"/>
      <c r="H32" s="2" t="inlineStr"/>
      <c r="I32" s="2" t="inlineStr"/>
    </row>
    <row r="33" ht="16" customHeight="1">
      <c r="A33" s="2" t="inlineStr"/>
      <c r="B33" s="2" t="inlineStr">
        <is>
          <t>Harvest</t>
        </is>
      </c>
      <c r="C33" s="7" t="n">
        <v>33</v>
      </c>
      <c r="D33" s="7" t="n">
        <v>28.05</v>
      </c>
      <c r="E33" s="7" t="n">
        <v>7.400621666666666</v>
      </c>
      <c r="F33" s="7" t="n">
        <v>20.64937833333333</v>
      </c>
      <c r="G33" s="2" t="inlineStr"/>
      <c r="H33" s="2" t="inlineStr"/>
      <c r="I33" s="2" t="inlineStr"/>
    </row>
    <row r="34" ht="16" customHeight="1"/>
    <row r="35" ht="16" customHeight="1">
      <c r="A35" s="8" t="inlineStr">
        <is>
          <t>D. YEARLY PLANS (live since 8/28: pay for 10 months, get 12)</t>
        </is>
      </c>
      <c r="B35" s="8" t="inlineStr"/>
      <c r="C35" s="8" t="inlineStr"/>
      <c r="D35" s="8" t="inlineStr"/>
      <c r="E35" s="8" t="inlineStr"/>
      <c r="F35" s="8" t="inlineStr"/>
      <c r="G35" s="8" t="inlineStr"/>
      <c r="H35" s="8" t="inlineStr"/>
      <c r="I35" s="8" t="inlineStr"/>
    </row>
    <row r="36" ht="16" customHeight="1">
      <c r="A36" s="8" t="inlineStr">
        <is>
          <t>Plan</t>
        </is>
      </c>
      <c r="B36" s="8" t="inlineStr">
        <is>
          <t>Price for the year</t>
        </is>
      </c>
      <c r="C36" s="8" t="inlineStr">
        <is>
          <t>That is per month, after the store's cut</t>
        </is>
      </c>
      <c r="D36" s="8" t="inlineStr">
        <is>
          <t>Profit per month, worst case</t>
        </is>
      </c>
      <c r="E36" s="8" t="inlineStr"/>
      <c r="F36" s="8" t="inlineStr"/>
      <c r="G36" s="8" t="inlineStr"/>
      <c r="H36" s="8" t="inlineStr"/>
      <c r="I36" s="8" t="inlineStr">
        <is>
          <t>Note</t>
        </is>
      </c>
    </row>
    <row r="37" ht="16" customHeight="1">
      <c r="A37" s="2" t="inlineStr">
        <is>
          <t>Seed</t>
        </is>
      </c>
      <c r="B37" s="7" t="n">
        <v>100</v>
      </c>
      <c r="C37" s="7" t="n">
        <v>7.083333333333333</v>
      </c>
      <c r="D37" s="7" t="n">
        <v>2.600508333333334</v>
      </c>
      <c r="E37" s="2" t="inlineStr"/>
      <c r="F37" s="2" t="inlineStr"/>
      <c r="G37" s="2" t="inlineStr"/>
      <c r="H37" s="2" t="inlineStr"/>
      <c r="I37" s="2" t="inlineStr">
        <is>
          <t>Exactly 10 times the monthly price.</t>
        </is>
      </c>
    </row>
    <row r="38" ht="16" customHeight="1">
      <c r="A38" s="2" t="inlineStr">
        <is>
          <t>Root</t>
        </is>
      </c>
      <c r="B38" s="7" t="n">
        <v>139.99</v>
      </c>
      <c r="C38" s="7" t="n">
        <v>9.915958333333334</v>
      </c>
      <c r="D38" s="7" t="n">
        <v>4.923533333333335</v>
      </c>
      <c r="E38" s="2" t="inlineStr"/>
      <c r="F38" s="2" t="inlineStr"/>
      <c r="G38" s="2" t="inlineStr"/>
      <c r="H38" s="2" t="inlineStr"/>
      <c r="I38" s="2" t="inlineStr">
        <is>
          <t>Apple does not sell $140 or $170 price points above $100, so these sit one penny under. That penny goes to the customer. The website matches Apple exactly.</t>
        </is>
      </c>
    </row>
    <row r="39" ht="16" customHeight="1">
      <c r="A39" s="2" t="inlineStr">
        <is>
          <t>Bloom</t>
        </is>
      </c>
      <c r="B39" s="7" t="n">
        <v>169.99</v>
      </c>
      <c r="C39" s="7" t="n">
        <v>12.04095833333333</v>
      </c>
      <c r="D39" s="7" t="n">
        <v>6.284637333333334</v>
      </c>
      <c r="E39" s="2" t="inlineStr"/>
      <c r="F39" s="2" t="inlineStr"/>
      <c r="G39" s="2" t="inlineStr"/>
      <c r="H39" s="2" t="inlineStr"/>
      <c r="I39" s="2" t="inlineStr">
        <is>
          <t>Apple does not sell $140 or $170 price points above $100, so these sit one penny under. That penny goes to the customer. The website matches Apple exactly.</t>
        </is>
      </c>
    </row>
    <row r="40" ht="16" customHeight="1">
      <c r="A40" s="2" t="inlineStr">
        <is>
          <t>Harvest</t>
        </is>
      </c>
      <c r="B40" s="7" t="n">
        <v>300</v>
      </c>
      <c r="C40" s="7" t="n">
        <v>21.25</v>
      </c>
      <c r="D40" s="7" t="n">
        <v>15.20203733333333</v>
      </c>
      <c r="E40" s="2" t="inlineStr"/>
      <c r="F40" s="2" t="inlineStr"/>
      <c r="G40" s="2" t="inlineStr"/>
      <c r="H40" s="2" t="inlineStr"/>
      <c r="I40" s="2" t="inlineStr">
        <is>
          <t>Left alone at $300. That is about 24 percent off, the biggest discount of any plan. Russ's standing call.</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tabColor rgb="FFB9A67A"/>
    <outlinePr summaryBelow="1" summaryRight="1"/>
    <pageSetUpPr/>
  </sheetPr>
  <dimension ref="A1:E24"/>
  <sheetViews>
    <sheetView workbookViewId="0">
      <selection activeCell="A1" sqref="A1"/>
    </sheetView>
  </sheetViews>
  <sheetFormatPr baseColWidth="8" defaultRowHeight="15"/>
  <cols>
    <col width="40" customWidth="1" min="1" max="1"/>
    <col width="14" customWidth="1" min="2" max="2"/>
    <col width="10" customWidth="1" min="3" max="3"/>
    <col width="17" customWidth="1" min="4" max="4"/>
    <col width="68" customWidth="1" min="5" max="5"/>
  </cols>
  <sheetData>
    <row r="1" ht="17" customHeight="1">
      <c r="A1" s="1" t="inlineStr">
        <is>
          <t>MONTHLY BILL - WHAT WE PAY EVEN IF NOBODY SHOWS UP</t>
        </is>
      </c>
    </row>
    <row r="2" ht="16" customHeight="1">
      <c r="A2" s="2" t="inlineStr">
        <is>
          <t>These bills arrive whether we have one subscriber or a thousand. Everything else in this book only costs money when somebody uses the app.</t>
        </is>
      </c>
    </row>
    <row r="3" ht="16" customHeight="1"/>
    <row r="4" ht="16" customHeight="1">
      <c r="A4" s="8" t="inlineStr">
        <is>
          <t>What we pay for</t>
        </is>
      </c>
      <c r="B4" s="8" t="inlineStr">
        <is>
          <t>Per month</t>
        </is>
      </c>
      <c r="C4" s="8" t="inlineStr">
        <is>
          <t>Bot</t>
        </is>
      </c>
      <c r="D4" s="8" t="inlineStr">
        <is>
          <t>How sure we are</t>
        </is>
      </c>
      <c r="E4" s="8" t="inlineStr">
        <is>
          <t>Note</t>
        </is>
      </c>
    </row>
    <row r="5" ht="16" customHeight="1">
      <c r="A5" s="10" t="inlineStr">
        <is>
          <t>Daily horoscopes made ahead of time</t>
        </is>
      </c>
      <c r="B5" s="12" t="n">
        <v>2.96</v>
      </c>
      <c r="C5" s="10" t="inlineStr">
        <is>
          <t>Grok</t>
        </is>
      </c>
      <c r="D5" s="10" t="inlineStr">
        <is>
          <t>Projected</t>
        </is>
      </c>
      <c r="E5" s="10" t="inlineStr">
        <is>
          <t>Only for star signs people read. Was $15.60 a month when Claude wrote all 12 signs.</t>
        </is>
      </c>
    </row>
    <row r="6" ht="16" customHeight="1">
      <c r="A6" s="9" t="inlineStr">
        <is>
          <t>Daily push notification lines</t>
        </is>
      </c>
      <c r="B6" s="13" t="n">
        <v>1.59</v>
      </c>
      <c r="C6" s="9" t="inlineStr">
        <is>
          <t>Claude</t>
        </is>
      </c>
      <c r="D6" s="9" t="inlineStr">
        <is>
          <t>Projected</t>
        </is>
      </c>
      <c r="E6" s="9" t="inlineStr">
        <is>
          <t>Stays on Claude on purpose.</t>
        </is>
      </c>
    </row>
    <row r="7" ht="16" customHeight="1">
      <c r="A7" s="10" t="inlineStr">
        <is>
          <t>Weekly horoscopes made ahead of time</t>
        </is>
      </c>
      <c r="B7" s="12" t="n">
        <v>0.34</v>
      </c>
      <c r="C7" s="10" t="inlineStr">
        <is>
          <t>Grok</t>
        </is>
      </c>
      <c r="D7" s="10" t="inlineStr">
        <is>
          <t>Projected</t>
        </is>
      </c>
      <c r="E7" s="10" t="inlineStr"/>
    </row>
    <row r="8" ht="16" customHeight="1">
      <c r="A8" s="10" t="inlineStr">
        <is>
          <t>Daily collective horoscope</t>
        </is>
      </c>
      <c r="B8" s="12" t="n">
        <v>0.22</v>
      </c>
      <c r="C8" s="10" t="inlineStr">
        <is>
          <t>Grok</t>
        </is>
      </c>
      <c r="D8" s="10" t="inlineStr">
        <is>
          <t>Projected</t>
        </is>
      </c>
      <c r="E8" s="10" t="inlineStr"/>
    </row>
    <row r="9" ht="16" customHeight="1">
      <c r="A9" s="9" t="inlineStr">
        <is>
          <t>Setup-text warmer</t>
        </is>
      </c>
      <c r="B9" s="13" t="n">
        <v>5.63</v>
      </c>
      <c r="C9" s="9" t="inlineStr">
        <is>
          <t>Claude</t>
        </is>
      </c>
      <c r="D9" s="9" t="inlineStr">
        <is>
          <t>Measured</t>
        </is>
      </c>
      <c r="E9" s="9" t="inlineStr">
        <is>
          <t>Saves about $15 a month. Keep it.</t>
        </is>
      </c>
    </row>
    <row r="10" ht="16" customHeight="1">
      <c r="A10" s="2" t="inlineStr">
        <is>
          <t>Cloudflare (the servers)</t>
        </is>
      </c>
      <c r="B10" s="7" t="n">
        <v>5</v>
      </c>
      <c r="C10" s="2" t="inlineStr"/>
      <c r="D10" s="2" t="inlineStr">
        <is>
          <t>Known rate</t>
        </is>
      </c>
      <c r="E10" s="2" t="inlineStr"/>
    </row>
    <row r="11" ht="16" customHeight="1">
      <c r="A11" s="2" t="inlineStr">
        <is>
          <t>Apple Developer Program</t>
        </is>
      </c>
      <c r="B11" s="7" t="n">
        <v>8.25</v>
      </c>
      <c r="C11" s="2" t="inlineStr"/>
      <c r="D11" s="2" t="inlineStr">
        <is>
          <t>Known rate</t>
        </is>
      </c>
      <c r="E11" s="2" t="inlineStr">
        <is>
          <t>$99 a year, spread over 12 months.</t>
        </is>
      </c>
    </row>
    <row r="12" ht="16" customHeight="1">
      <c r="A12" s="2" t="inlineStr">
        <is>
          <t>Database, search, storage</t>
        </is>
      </c>
      <c r="B12" s="7" t="n">
        <v>0</v>
      </c>
      <c r="C12" s="2" t="inlineStr"/>
      <c r="D12" s="2" t="inlineStr">
        <is>
          <t>Shared</t>
        </is>
      </c>
      <c r="E12" s="2" t="inlineStr">
        <is>
          <t>Shared with other projects. No Tarotdoxa-only bill.</t>
        </is>
      </c>
    </row>
    <row r="13" ht="16" customHeight="1">
      <c r="A13" s="14" t="inlineStr">
        <is>
          <t>TOTAL, EVERY MONTH</t>
        </is>
      </c>
      <c r="B13" s="15" t="n">
        <v>23.99</v>
      </c>
      <c r="C13" s="14" t="inlineStr"/>
      <c r="D13" s="14" t="inlineStr"/>
      <c r="E13" s="14" t="inlineStr">
        <is>
          <t>Kit's own AI tools (about $10.50 a month) are deliberately NOT in here. That is business overhead, not the app.</t>
        </is>
      </c>
    </row>
    <row r="14" ht="16" customHeight="1"/>
    <row r="15" ht="16" customHeight="1">
      <c r="A15" s="8" t="inlineStr">
        <is>
          <t>HOW MANY SUBSCRIBERS PAY THAT BILL</t>
        </is>
      </c>
      <c r="B15" s="8" t="inlineStr"/>
      <c r="C15" s="8" t="inlineStr"/>
      <c r="D15" s="8" t="inlineStr"/>
      <c r="E15" s="8" t="inlineStr"/>
    </row>
    <row r="16" ht="16" customHeight="1">
      <c r="A16" s="2" t="inlineStr">
        <is>
          <t>Using a normal subscriber, not a heavy one, and the smaller store cut.</t>
        </is>
      </c>
    </row>
    <row r="17" ht="16" customHeight="1">
      <c r="A17" s="8" t="inlineStr">
        <is>
          <t>Plan</t>
        </is>
      </c>
      <c r="B17" s="8" t="inlineStr">
        <is>
          <t>We keep</t>
        </is>
      </c>
      <c r="C17" s="8" t="inlineStr">
        <is>
          <t>Profit per person</t>
        </is>
      </c>
      <c r="D17" s="8" t="inlineStr">
        <is>
          <t>Subscribers needed</t>
        </is>
      </c>
      <c r="E17" s="8" t="inlineStr">
        <is>
          <t>Note</t>
        </is>
      </c>
    </row>
    <row r="18" ht="16" customHeight="1">
      <c r="A18" s="2" t="inlineStr">
        <is>
          <t>Seed</t>
        </is>
      </c>
      <c r="B18" s="7" t="n">
        <v>8.5</v>
      </c>
      <c r="C18" s="7" t="n">
        <v>6.31862</v>
      </c>
      <c r="D18" s="36" t="n">
        <v>4</v>
      </c>
      <c r="E18" s="2" t="inlineStr"/>
    </row>
    <row r="19" ht="16" customHeight="1">
      <c r="A19" s="2" t="inlineStr">
        <is>
          <t>Root</t>
        </is>
      </c>
      <c r="B19" s="7" t="n">
        <v>11.9</v>
      </c>
      <c r="C19" s="7" t="n">
        <v>9.718620000000001</v>
      </c>
      <c r="D19" s="36" t="n">
        <v>3</v>
      </c>
      <c r="E19" s="2" t="inlineStr"/>
    </row>
    <row r="20" ht="16" customHeight="1">
      <c r="A20" s="2" t="inlineStr">
        <is>
          <t>Bloom</t>
        </is>
      </c>
      <c r="B20" s="7" t="n">
        <v>14.45</v>
      </c>
      <c r="C20" s="7" t="n">
        <v>12.26862</v>
      </c>
      <c r="D20" s="36" t="n">
        <v>2</v>
      </c>
      <c r="E20" s="2" t="inlineStr"/>
    </row>
    <row r="21" ht="16" customHeight="1">
      <c r="A21" s="2" t="inlineStr">
        <is>
          <t>Harvest</t>
        </is>
      </c>
      <c r="B21" s="7" t="n">
        <v>28.05</v>
      </c>
      <c r="C21" s="7" t="n">
        <v>25.86862</v>
      </c>
      <c r="D21" s="36" t="n">
        <v>1</v>
      </c>
      <c r="E21" s="2" t="inlineStr"/>
    </row>
    <row r="22" ht="16" customHeight="1"/>
    <row r="23" ht="16" customHeight="1">
      <c r="A23" s="14" t="inlineStr">
        <is>
          <t>1 Harvest subscriber covers the whole monthly bill. So do 4 on the cheapest plan, Seed. That is the entire hill.</t>
        </is>
      </c>
    </row>
    <row r="24" ht="16" customHeight="1">
      <c r="A24" s="2" t="inlineStr">
        <is>
          <t>Which is the point of the honest headline on START HERE: the bot bill was never the problem. Getting the first hundred paying people is.</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tabColor rgb="FF8A8A8A"/>
    <outlinePr summaryBelow="1" summaryRight="1"/>
    <pageSetUpPr/>
  </sheetPr>
  <dimension ref="A1:F40"/>
  <sheetViews>
    <sheetView workbookViewId="0">
      <selection activeCell="A1" sqref="A1"/>
    </sheetView>
  </sheetViews>
  <sheetFormatPr baseColWidth="8" defaultRowHeight="15"/>
  <cols>
    <col width="42" customWidth="1" min="1" max="1"/>
    <col width="26" customWidth="1" min="2" max="2"/>
    <col width="20" customWidth="1" min="3" max="3"/>
    <col width="20" customWidth="1" min="4" max="4"/>
    <col width="20" customWidth="1" min="5" max="5"/>
    <col width="68" customWidth="1" min="6" max="6"/>
  </cols>
  <sheetData>
    <row r="1" ht="17" customHeight="1">
      <c r="A1" s="1" t="inlineStr">
        <is>
          <t>WHERE EVERY NUMBER CAME FROM</t>
        </is>
      </c>
    </row>
    <row r="2" ht="16" customHeight="1">
      <c r="A2" s="2" t="inlineStr">
        <is>
          <t>Nothing in this book is a guess unless the row says 'estimate'. Here is the receipt for each one.</t>
        </is>
      </c>
    </row>
    <row r="3" ht="16" customHeight="1"/>
    <row r="4" ht="16" customHeight="1">
      <c r="A4" s="8" t="inlineStr">
        <is>
          <t>MEASURED FROM THE LIVE DATABASE, 8/28 and 8/29</t>
        </is>
      </c>
      <c r="B4" s="8" t="inlineStr"/>
    </row>
    <row r="5" ht="16" customHeight="1">
      <c r="A5" s="2" t="inlineStr">
        <is>
          <t>Cost of each kind of tarot reading</t>
        </is>
      </c>
      <c r="B5" s="2" t="inlineStr">
        <is>
          <t>Supabase tarot_readings, rows written by Claude, split at the moment the setup-text warmer went live on 8/18.</t>
        </is>
      </c>
    </row>
    <row r="6" ht="16" customHeight="1">
      <c r="A6" s="2" t="inlineStr">
        <is>
          <t>Does the warmer really work</t>
        </is>
      </c>
      <c r="B6" s="2" t="inlineStr">
        <is>
          <t>Same query, after 8/18: 22 of 24 one-card readings came back cheap. See the test below.</t>
        </is>
      </c>
    </row>
    <row r="7" ht="16" customHeight="1">
      <c r="A7" s="2" t="inlineStr">
        <is>
          <t>What each job costs per month</t>
        </is>
      </c>
      <c r="B7" s="2" t="inlineStr">
        <is>
          <t>Supabase spend_log, last 30 days, grouped by job.</t>
        </is>
      </c>
    </row>
    <row r="8" ht="16" customHeight="1">
      <c r="A8" s="2" t="inlineStr">
        <is>
          <t>Grok against Claude on horoscopes</t>
        </is>
      </c>
      <c r="B8" s="2" t="inlineStr">
        <is>
          <t>tarotdoxa-worker execution/astro-model-sidebyside.ts. Exact production prompts and request body. The push line was re-measured with the real body.</t>
        </is>
      </c>
    </row>
    <row r="9" ht="16" customHeight="1">
      <c r="A9" s="2" t="inlineStr">
        <is>
          <t>Grok against Claude on the 1-card tarot</t>
        </is>
      </c>
      <c r="B9" s="2" t="inlineStr">
        <is>
          <t>tarotdoxa-worker execution/tarot-single-sidebyside.ts, run 8/29. Exact production prompt path, 3 fixed question and card pairs. Grok averaged $0.0482. Grok got almost no setup-text discount, so that is its real number.</t>
        </is>
      </c>
    </row>
    <row r="10" ht="16" customHeight="1">
      <c r="A10" s="2" t="inlineStr">
        <is>
          <t>Which star signs get made ahead of time</t>
        </is>
      </c>
      <c r="B10" s="2" t="inlineStr">
        <is>
          <t>tarotdoxa_daily_log, 7-day window.</t>
        </is>
      </c>
    </row>
    <row r="11" ht="16" customHeight="1">
      <c r="A11" s="2" t="inlineStr">
        <is>
          <t>Every price in the shops</t>
        </is>
      </c>
      <c r="B11" s="2" t="inlineStr">
        <is>
          <t>Read back live from Apple App Store Connect, Google Play, and Stripe on 8/28.</t>
        </is>
      </c>
    </row>
    <row r="12" ht="16" customHeight="1">
      <c r="A12" s="2" t="inlineStr">
        <is>
          <t>Money on account for bots</t>
        </is>
      </c>
      <c r="B12" s="2" t="inlineStr">
        <is>
          <t>OpenRouter credits endpoint, 8/28 late.</t>
        </is>
      </c>
    </row>
    <row r="13" ht="16" customHeight="1">
      <c r="A13" s="2" t="inlineStr">
        <is>
          <t>How much people actually use the app</t>
        </is>
      </c>
      <c r="B13" s="2" t="inlineStr">
        <is>
          <t>17 real accounts measured 8/20. Worth re-measuring after launch.</t>
        </is>
      </c>
    </row>
    <row r="14" ht="16" customHeight="1"/>
    <row r="15" ht="16" customHeight="1">
      <c r="A15" s="8" t="inlineStr">
        <is>
          <t>THE WARMER TEST, RUN FIRST AS ASKED (8/29)</t>
        </is>
      </c>
      <c r="B15" s="8" t="inlineStr"/>
    </row>
    <row r="16" ht="16" customHeight="1">
      <c r="A16" s="2" t="inlineStr">
        <is>
          <t>Question: does the cheap 1-card price hold up when lots of people use it? Answer: yes.</t>
        </is>
      </c>
    </row>
    <row r="17" ht="16" customHeight="1">
      <c r="A17" s="8" t="inlineStr">
        <is>
          <t>Reading</t>
        </is>
      </c>
      <c r="B17" s="8" t="inlineStr">
        <is>
          <t>Before the warmer: how many</t>
        </is>
      </c>
      <c r="C17" s="8" t="inlineStr">
        <is>
          <t>Before: average cost</t>
        </is>
      </c>
      <c r="D17" s="8" t="inlineStr">
        <is>
          <t>After: how many</t>
        </is>
      </c>
      <c r="E17" s="8" t="inlineStr">
        <is>
          <t>After: average cost</t>
        </is>
      </c>
      <c r="F17" s="8" t="inlineStr">
        <is>
          <t>What it means</t>
        </is>
      </c>
    </row>
    <row r="18" ht="16" customHeight="1">
      <c r="A18" s="2" t="inlineStr">
        <is>
          <t>1-card</t>
        </is>
      </c>
      <c r="B18" s="36" t="n">
        <v>58</v>
      </c>
      <c r="C18" s="20" t="n">
        <v>0.2062</v>
      </c>
      <c r="D18" s="36" t="n">
        <v>24</v>
      </c>
      <c r="E18" s="20" t="n">
        <v>0.0987</v>
      </c>
      <c r="F18" s="2" t="inlineStr">
        <is>
          <t>22 of the 24 were cheap. The 2 that were not cost $0.2172. Cost cut in half.</t>
        </is>
      </c>
    </row>
    <row r="19" ht="16" customHeight="1">
      <c r="A19" s="2" t="inlineStr">
        <is>
          <t>3-card</t>
        </is>
      </c>
      <c r="B19" s="36" t="n">
        <v>20</v>
      </c>
      <c r="C19" s="20" t="n">
        <v>0.2116</v>
      </c>
      <c r="D19" s="36" t="n">
        <v>6</v>
      </c>
      <c r="E19" s="20" t="n">
        <v>0.2177</v>
      </c>
      <c r="F19" s="2" t="inlineStr">
        <is>
          <t>Bigger readings are mostly writing, and the warmer only helps the setup text.</t>
        </is>
      </c>
    </row>
    <row r="20" ht="16" customHeight="1">
      <c r="A20" s="2" t="inlineStr">
        <is>
          <t>5-card situational</t>
        </is>
      </c>
      <c r="B20" s="36" t="n">
        <v>14</v>
      </c>
      <c r="C20" s="20" t="n">
        <v>0.3299</v>
      </c>
      <c r="D20" s="36" t="n">
        <v>2</v>
      </c>
      <c r="E20" s="20" t="n">
        <v>0.294</v>
      </c>
      <c r="F20" s="2" t="inlineStr">
        <is>
          <t>Better, but only 2 readings so far.</t>
        </is>
      </c>
    </row>
    <row r="21" ht="16" customHeight="1">
      <c r="A21" s="2" t="inlineStr">
        <is>
          <t>6-card mini cross</t>
        </is>
      </c>
      <c r="B21" s="36" t="n">
        <v>9</v>
      </c>
      <c r="C21" s="20" t="n">
        <v>0.2987</v>
      </c>
      <c r="D21" s="36" t="n">
        <v>2</v>
      </c>
      <c r="E21" s="20" t="n">
        <v>0.2156</v>
      </c>
      <c r="F21" s="2" t="inlineStr">
        <is>
          <t>Better, but only 2 readings so far.</t>
        </is>
      </c>
    </row>
    <row r="22" ht="16" customHeight="1">
      <c r="A22" s="2" t="inlineStr">
        <is>
          <t>7-card couples</t>
        </is>
      </c>
      <c r="B22" s="36" t="n">
        <v>3</v>
      </c>
      <c r="C22" s="20" t="n">
        <v>0.2308</v>
      </c>
      <c r="D22" s="36" t="n">
        <v>0</v>
      </c>
      <c r="E22" s="2" t="inlineStr">
        <is>
          <t>none yet</t>
        </is>
      </c>
      <c r="F22" s="2" t="inlineStr">
        <is>
          <t>No reading made since the warmer. Carrying the old number.</t>
        </is>
      </c>
    </row>
    <row r="23" ht="16" customHeight="1">
      <c r="A23" s="2" t="inlineStr">
        <is>
          <t>10-card Celtic</t>
        </is>
      </c>
      <c r="B23" s="36" t="n">
        <v>11</v>
      </c>
      <c r="C23" s="20" t="n">
        <v>0.4128</v>
      </c>
      <c r="D23" s="36" t="n">
        <v>5</v>
      </c>
      <c r="E23" s="20" t="n">
        <v>0.3196</v>
      </c>
      <c r="F23" s="2" t="inlineStr">
        <is>
          <t>Saves about 9 cents a reading.</t>
        </is>
      </c>
    </row>
    <row r="24" ht="16" customHeight="1"/>
    <row r="25" ht="16" customHeight="1">
      <c r="A25" s="14" t="inlineStr">
        <is>
          <t>Verdict</t>
        </is>
      </c>
      <c r="B25" s="14" t="inlineStr"/>
      <c r="C25" s="14" t="inlineStr"/>
      <c r="D25" s="14" t="inlineStr"/>
      <c r="E25" s="14" t="inlineStr"/>
      <c r="F25" s="14" t="inlineStr">
        <is>
          <t>The cheap price holds. The honest all-in 1-card number is $0.0987, which already includes the few times it came back expensive.</t>
        </is>
      </c>
    </row>
    <row r="26" ht="16" customHeight="1"/>
    <row r="27" ht="16" customHeight="1">
      <c r="A27" s="8" t="inlineStr">
        <is>
          <t>ROWS THAT ARE ESTIMATES (flagged wherever they appear)</t>
        </is>
      </c>
      <c r="B27" s="8" t="inlineStr"/>
    </row>
    <row r="28" ht="16" customHeight="1">
      <c r="A28" s="2" t="inlineStr">
        <is>
          <t>Collective and couples weekly on Grok</t>
        </is>
      </c>
      <c r="B28" s="2" t="inlineStr">
        <is>
          <t>The measured daily saving applied to the old cost. Real numbers land as real readings get made.</t>
        </is>
      </c>
    </row>
    <row r="29" ht="16" customHeight="1">
      <c r="A29" s="2" t="inlineStr">
        <is>
          <t>Birthday year-ahead at $0.30</t>
        </is>
      </c>
      <c r="B29" s="2" t="inlineStr">
        <is>
          <t>The feature is live. No birthday has landed on it yet.</t>
        </is>
      </c>
    </row>
    <row r="30" ht="16" customHeight="1">
      <c r="A30" s="2" t="inlineStr">
        <is>
          <t>7-card couples after the warmer</t>
        </is>
      </c>
      <c r="B30" s="2" t="inlineStr">
        <is>
          <t>No reading made since the warmer shipped. Old number carried.</t>
        </is>
      </c>
    </row>
    <row r="31" ht="16" customHeight="1">
      <c r="A31" s="2" t="inlineStr">
        <is>
          <t>1-card cost</t>
        </is>
      </c>
      <c r="B31" s="2" t="inlineStr">
        <is>
          <t>Worth re-measuring. The 8/29 paywall work saw warm Claude singles as low as $0.014. Updating after the Grok 1-card decision.</t>
        </is>
      </c>
    </row>
    <row r="32" ht="16" customHeight="1"/>
    <row r="33" ht="16" customHeight="1">
      <c r="A33" s="8" t="inlineStr">
        <is>
          <t>DECISIONS ALREADY BAKED IN</t>
        </is>
      </c>
      <c r="B33" s="8" t="inlineStr"/>
    </row>
    <row r="34" ht="16" customHeight="1">
      <c r="A34" s="2" t="inlineStr">
        <is>
          <t>Plan prices</t>
        </is>
      </c>
      <c r="B34" s="2" t="inlineStr">
        <is>
          <t>Russ, 8/28: 'ship the pricing you recommend, which is $10.' Live on Apple, the website, and Android.</t>
        </is>
      </c>
    </row>
    <row r="35" ht="16" customHeight="1">
      <c r="A35" s="2" t="inlineStr">
        <is>
          <t>Grok writes the horoscopes</t>
        </is>
      </c>
      <c r="B35" s="2" t="inlineStr">
        <is>
          <t>Russ, 8/28. Daily and weekly, not the yearly star work. Horoscopes still load automatically. Cards are never shuffled for astrology.</t>
        </is>
      </c>
    </row>
    <row r="36" ht="16" customHeight="1">
      <c r="A36" s="2" t="inlineStr">
        <is>
          <t>Claude writes the tarot</t>
        </is>
      </c>
      <c r="B36" s="2" t="inlineStr">
        <is>
          <t>Russ, 7/30, still standing. The only open question is the 1-card, graded 8/29 and not yet ruled. Every bigger spread stays Claude either way.</t>
        </is>
      </c>
    </row>
    <row r="37" ht="16" customHeight="1">
      <c r="A37" s="2" t="inlineStr">
        <is>
          <t>Bloom stays in the teens</t>
        </is>
      </c>
      <c r="B37" s="2" t="inlineStr">
        <is>
          <t>Holly at dinner: '$20 a month is a hard sell. Keep it in the teens.' Bloom shipped at $17.</t>
        </is>
      </c>
    </row>
    <row r="38" ht="16" customHeight="1">
      <c r="A38" s="2" t="inlineStr">
        <is>
          <t>Individual star chart at $22</t>
        </is>
      </c>
      <c r="B38" s="2" t="inlineStr">
        <is>
          <t>Russ, 8/29. Planned. Not in any shop yet.</t>
        </is>
      </c>
    </row>
    <row r="39" ht="16" customHeight="1"/>
    <row r="40" ht="16" customHeight="1">
      <c r="A40" s="2" t="inlineStr">
        <is>
          <t>Rebuild this book</t>
        </is>
      </c>
      <c r="B40" s="2" t="inlineStr">
        <is>
          <t>python3 tarotdoxa/execution/build-financial-workbook-0829.py (the ASSUMPTIONS block at the top is the one knob)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2026-08-29T20:07:00Z</dcterms:created>
  <dcterms:modified xmlns:dcterms="http://purl.org/dc/terms/" xmlns:xsi="http://www.w3.org/2001/XMLSchema-instance" xsi:type="dcterms:W3CDTF">2026-08-29T20:07:00Z</dcterms:modified>
</cp:coreProperties>
</file>